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Dashboard" sheetId="2" state="visible" r:id="rId4"/>
    <sheet name="Settings" sheetId="3" state="visible" r:id="rId5"/>
    <sheet name="Candidates" sheetId="4" state="visible" r:id="rId6"/>
    <sheet name="Scorecard" sheetId="5" state="visible" r:id="rId7"/>
    <sheet name="Hires_Sample" sheetId="6" state="visible" r:id="rId8"/>
    <sheet name="Onboarding" sheetId="7" state="visible" r:id="rId9"/>
    <sheet name="Pilot_Resul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<sst xmlns="http://schemas.openxmlformats.org/spreadsheetml/2006/main" count="380" uniqueCount="241">
  <si>
    <t xml:space="preserve">HR Talent Acquisition &amp; Onboarding Workflow: Working Model</t>
  </si>
  <si>
    <t xml:space="preserve">Purpose</t>
  </si>
  <si>
    <t xml:space="preserve">A working spreadsheet version of the Week 1 to 4 framework: ATS tracker, scorecards, onboarding tracker, SLA and pilot results, and a KPI dashboard. All formulas recalculate when you edit inputs.</t>
  </si>
  <si>
    <t xml:space="preserve">Data</t>
  </si>
  <si>
    <t xml:space="preserve">All names, emails and figures are dummy data from the simulated case (Northwind Services Pvt. Ltd.). Hire sample = Week 1 audit sample; pilot counts = Week 3 pilot.</t>
  </si>
  <si>
    <t xml:space="preserve">Legend</t>
  </si>
  <si>
    <t xml:space="preserve">Blue text = input you can edit. Black text = formula, do not overwrite. Yellow fill = setting that drives formulas (change it on the Settings sheet). Green/red = status flags.</t>
  </si>
  <si>
    <t xml:space="preserve">Candidates</t>
  </si>
  <si>
    <t xml:space="preserve">ATS tracker. Add a row per applicant (rows 5 to 44 are formula-ready). Stage and Source use dropdowns. Duplicate check flags repeated emails; acknowledgement SLA and screening result calculate automatically.</t>
  </si>
  <si>
    <t xml:space="preserve">Scorecard</t>
  </si>
  <si>
    <t xml:space="preserve">One row per interviewer scorecard. Enter ratings 1 to 5. Weighted score, feedback hours, SLA status, decision guide and debrief gap flag calculate automatically.</t>
  </si>
  <si>
    <t xml:space="preserve">Hires_Sample</t>
  </si>
  <si>
    <t xml:space="preserve">10 past hires from the Week 1 audit. Gives the 45-day time-to-hire and 70% retention baselines.</t>
  </si>
  <si>
    <t xml:space="preserve">Onboarding</t>
  </si>
  <si>
    <t xml:space="preserve">Tracker for new hires: checklist, IT access, LMS modules, Day 10 reminder flag and completion %.</t>
  </si>
  <si>
    <t xml:space="preserve">Pilot_Results</t>
  </si>
  <si>
    <t xml:space="preserve">The 12 pilot metrics from Week 3. Pilot score = metrics at target divided by total (target 80%).</t>
  </si>
  <si>
    <t xml:space="preserve">KPI_Dashboard</t>
  </si>
  <si>
    <t xml:space="preserve">Live KPI view with status flags, pipeline funnel and charts. Pulls from all other sheets.</t>
  </si>
  <si>
    <t xml:space="preserve">Settings</t>
  </si>
  <si>
    <t xml:space="preserve">Thresholds (screening cut-off, 24-hour SLA, debrief gap) and the scorecard criteria weights.</t>
  </si>
  <si>
    <t xml:space="preserve">KPI Dashboard</t>
  </si>
  <si>
    <t xml:space="preserve">All values are formulas linked to the other sheets, except blue inputs. Status updates automatically.</t>
  </si>
  <si>
    <t xml:space="preserve">KPI</t>
  </si>
  <si>
    <t xml:space="preserve">Baseline</t>
  </si>
  <si>
    <t xml:space="preserve">Target</t>
  </si>
  <si>
    <t xml:space="preserve">Current</t>
  </si>
  <si>
    <t xml:space="preserve">Status</t>
  </si>
  <si>
    <t xml:space="preserve">Source</t>
  </si>
  <si>
    <t xml:space="preserve">Time-to-hire (days)</t>
  </si>
  <si>
    <t xml:space="preserve">Baseline: hires sample. Current: Week 2 dry run (input).</t>
  </si>
  <si>
    <t xml:space="preserve">90-day retention</t>
  </si>
  <si>
    <t xml:space="preserve">Pending</t>
  </si>
  <si>
    <t xml:space="preserve">Needs first cohort to reach Day 90.</t>
  </si>
  <si>
    <t xml:space="preserve">Feedback turnaround, median hours</t>
  </si>
  <si>
    <t xml:space="preserve">Baseline = 4 days (midpoint of est. 3 to 5, assumption).</t>
  </si>
  <si>
    <t xml:space="preserve">Scorecards within SLA</t>
  </si>
  <si>
    <t xml:space="preserve">Not tracked</t>
  </si>
  <si>
    <t xml:space="preserve">Scorecard sheet.</t>
  </si>
  <si>
    <t xml:space="preserve">Candidate satisfaction (CSAT)</t>
  </si>
  <si>
    <t xml:space="preserve">Not measured</t>
  </si>
  <si>
    <t xml:space="preserve">Pilot survey, 20 responses.</t>
  </si>
  <si>
    <t xml:space="preserve">Onboarding LMS completion</t>
  </si>
  <si>
    <t xml:space="preserve">Onboarding sheet; floor 90% before Day 14.</t>
  </si>
  <si>
    <t xml:space="preserve">Pilot performance score</t>
  </si>
  <si>
    <t xml:space="preserve">n/a</t>
  </si>
  <si>
    <t xml:space="preserve">Pilot_Results sheet.</t>
  </si>
  <si>
    <t xml:space="preserve">Overall SLA compliance</t>
  </si>
  <si>
    <t xml:space="preserve">Target 90% is a team goal (assumption).</t>
  </si>
  <si>
    <t xml:space="preserve">Duplicate applications flagged</t>
  </si>
  <si>
    <t xml:space="preserve">Candidates sheet.</t>
  </si>
  <si>
    <t xml:space="preserve">Pipeline funnel</t>
  </si>
  <si>
    <t xml:space="preserve">Stage</t>
  </si>
  <si>
    <t xml:space="preserve">Applied</t>
  </si>
  <si>
    <t xml:space="preserve">Screening</t>
  </si>
  <si>
    <t xml:space="preserve">Interview</t>
  </si>
  <si>
    <t xml:space="preserve">Decision</t>
  </si>
  <si>
    <t xml:space="preserve">Offer</t>
  </si>
  <si>
    <t xml:space="preserve">Hired</t>
  </si>
  <si>
    <t xml:space="preserve">Rejected</t>
  </si>
  <si>
    <t xml:space="preserve">Total</t>
  </si>
  <si>
    <t xml:space="preserve">Screening pass score (out of 100)</t>
  </si>
  <si>
    <t xml:space="preserve">Scorecard SLA (hours after interview)</t>
  </si>
  <si>
    <t xml:space="preserve">Acknowledgement SLA (hours)</t>
  </si>
  <si>
    <t xml:space="preserve">Debrief gap flag (rating points)</t>
  </si>
  <si>
    <t xml:space="preserve">Strong hire threshold (weighted score)</t>
  </si>
  <si>
    <t xml:space="preserve">Discuss threshold (weighted score)</t>
  </si>
  <si>
    <t xml:space="preserve">Screening SLA (working days)</t>
  </si>
  <si>
    <t xml:space="preserve">Scorecard criteria</t>
  </si>
  <si>
    <t xml:space="preserve">Criterion</t>
  </si>
  <si>
    <t xml:space="preserve">Role skills</t>
  </si>
  <si>
    <t xml:space="preserve">Problem solving</t>
  </si>
  <si>
    <t xml:space="preserve">Communication</t>
  </si>
  <si>
    <t xml:space="preserve">Values alignment</t>
  </si>
  <si>
    <t xml:space="preserve">Learning ability</t>
  </si>
  <si>
    <t xml:space="preserve">Weight</t>
  </si>
  <si>
    <t xml:space="preserve">Source: thresholds and weights from Week 2 templates T-03 and T-04 and Week 3 SLA register.</t>
  </si>
  <si>
    <t xml:space="preserve">Candidate Tracker (ATS)</t>
  </si>
  <si>
    <t xml:space="preserve">Blue = input. Add rows below the sample data (formulas are ready to row 44). Duplicate emails are flagged.</t>
  </si>
  <si>
    <t xml:space="preserve">Cand ID</t>
  </si>
  <si>
    <t xml:space="preserve">Name</t>
  </si>
  <si>
    <t xml:space="preserve">Email</t>
  </si>
  <si>
    <t xml:space="preserve">Role</t>
  </si>
  <si>
    <t xml:space="preserve">Req ID</t>
  </si>
  <si>
    <t xml:space="preserve">Acknowledged</t>
  </si>
  <si>
    <t xml:space="preserve">Ack hours</t>
  </si>
  <si>
    <t xml:space="preserve">Ack SLA</t>
  </si>
  <si>
    <t xml:space="preserve">Screen score</t>
  </si>
  <si>
    <t xml:space="preserve">Screening result</t>
  </si>
  <si>
    <t xml:space="preserve">Duplicate check</t>
  </si>
  <si>
    <t xml:space="preserve">Rejection reason</t>
  </si>
  <si>
    <t xml:space="preserve">CAN-001</t>
  </si>
  <si>
    <t xml:space="preserve">Hamza Raza</t>
  </si>
  <si>
    <t xml:space="preserve">hamza.raza@example.com</t>
  </si>
  <si>
    <t xml:space="preserve">Customer Support Agent</t>
  </si>
  <si>
    <t xml:space="preserve">REQ-101</t>
  </si>
  <si>
    <t xml:space="preserve">LinkedIn</t>
  </si>
  <si>
    <t xml:space="preserve">CAN-002</t>
  </si>
  <si>
    <t xml:space="preserve">Zainab Ali</t>
  </si>
  <si>
    <t xml:space="preserve">zainab.ali@example.com</t>
  </si>
  <si>
    <t xml:space="preserve">Job board</t>
  </si>
  <si>
    <t xml:space="preserve">CAN-003</t>
  </si>
  <si>
    <t xml:space="preserve">Omar Farooq</t>
  </si>
  <si>
    <t xml:space="preserve">omar.farooq@example.com</t>
  </si>
  <si>
    <t xml:space="preserve">Referral</t>
  </si>
  <si>
    <t xml:space="preserve">Below cut-off score</t>
  </si>
  <si>
    <t xml:space="preserve">CAN-004</t>
  </si>
  <si>
    <t xml:space="preserve">Hina Shah</t>
  </si>
  <si>
    <t xml:space="preserve">hina.shah@example.com</t>
  </si>
  <si>
    <t xml:space="preserve">CAN-005</t>
  </si>
  <si>
    <t xml:space="preserve">Daniyal Sheikh</t>
  </si>
  <si>
    <t xml:space="preserve">daniyal.sheikh@example.com</t>
  </si>
  <si>
    <t xml:space="preserve">CAN-006</t>
  </si>
  <si>
    <t xml:space="preserve">Noor Fatima</t>
  </si>
  <si>
    <t xml:space="preserve">noor.fatima@example.com</t>
  </si>
  <si>
    <t xml:space="preserve">CAN-007</t>
  </si>
  <si>
    <t xml:space="preserve">Saad Mirza</t>
  </si>
  <si>
    <t xml:space="preserve">saad.mirza@example.com</t>
  </si>
  <si>
    <t xml:space="preserve">Marketing Executive</t>
  </si>
  <si>
    <t xml:space="preserve">REQ-102</t>
  </si>
  <si>
    <t xml:space="preserve">CAN-008</t>
  </si>
  <si>
    <t xml:space="preserve">Rabia Anwar</t>
  </si>
  <si>
    <t xml:space="preserve">rabia.anwar@example.com</t>
  </si>
  <si>
    <t xml:space="preserve">Sales Associate</t>
  </si>
  <si>
    <t xml:space="preserve">REQ-103</t>
  </si>
  <si>
    <t xml:space="preserve">CAN-009</t>
  </si>
  <si>
    <t xml:space="preserve">Iqra Javed</t>
  </si>
  <si>
    <t xml:space="preserve">iqra.javed@example.com</t>
  </si>
  <si>
    <t xml:space="preserve">CAN-010</t>
  </si>
  <si>
    <t xml:space="preserve">Kamran Bhatti</t>
  </si>
  <si>
    <t xml:space="preserve">kamran.bhatti@example.com</t>
  </si>
  <si>
    <t xml:space="preserve">CAN-011</t>
  </si>
  <si>
    <t xml:space="preserve">CAN-012</t>
  </si>
  <si>
    <t xml:space="preserve">Interview Scorecards</t>
  </si>
  <si>
    <t xml:space="preserve">Ratings 1 to 5 (1 = does not meet, 3 = meets, 5 = outstanding). Weights and thresholds come from Settings.</t>
  </si>
  <si>
    <t xml:space="preserve">Interview ID</t>
  </si>
  <si>
    <t xml:space="preserve">Candidate</t>
  </si>
  <si>
    <t xml:space="preserve">Interviewer</t>
  </si>
  <si>
    <t xml:space="preserve">Interview end</t>
  </si>
  <si>
    <t xml:space="preserve">Scorecard submitted</t>
  </si>
  <si>
    <t xml:space="preserve">Evidence on every criterion</t>
  </si>
  <si>
    <t xml:space="preserve">Weighted score</t>
  </si>
  <si>
    <t xml:space="preserve">Feedback hours</t>
  </si>
  <si>
    <t xml:space="preserve">Feedback SLA</t>
  </si>
  <si>
    <t xml:space="preserve">Decision guide</t>
  </si>
  <si>
    <t xml:space="preserve">Rating gap (same candidate)</t>
  </si>
  <si>
    <t xml:space="preserve">Debrief flag</t>
  </si>
  <si>
    <t xml:space="preserve">INT-001</t>
  </si>
  <si>
    <t xml:space="preserve">Sara Malik</t>
  </si>
  <si>
    <t xml:space="preserve">Yes</t>
  </si>
  <si>
    <t xml:space="preserve">INT-002</t>
  </si>
  <si>
    <t xml:space="preserve">Usman Tariq</t>
  </si>
  <si>
    <t xml:space="preserve">INT-003</t>
  </si>
  <si>
    <t xml:space="preserve">Bilal Ahmed</t>
  </si>
  <si>
    <t xml:space="preserve">INT-004</t>
  </si>
  <si>
    <t xml:space="preserve">Ayesha Khan</t>
  </si>
  <si>
    <t xml:space="preserve">INT-005</t>
  </si>
  <si>
    <t xml:space="preserve">No</t>
  </si>
  <si>
    <t xml:space="preserve">INT-006</t>
  </si>
  <si>
    <t xml:space="preserve">INT-007</t>
  </si>
  <si>
    <t xml:space="preserve">INT-008</t>
  </si>
  <si>
    <t xml:space="preserve">INT-009</t>
  </si>
  <si>
    <t xml:space="preserve">INT-010</t>
  </si>
  <si>
    <t xml:space="preserve">Hires Sample (Week 1 baseline)</t>
  </si>
  <si>
    <t xml:space="preserve">Source: 10 past hires from the simulated Week 1 audit (requisitions Jan to May 2025). Illustrative data.</t>
  </si>
  <si>
    <t xml:space="preserve">Request date</t>
  </si>
  <si>
    <t xml:space="preserve">Offer accepted</t>
  </si>
  <si>
    <t xml:space="preserve">Days-to-hire</t>
  </si>
  <si>
    <t xml:space="preserve">Retained at day 90</t>
  </si>
  <si>
    <t xml:space="preserve">H-01</t>
  </si>
  <si>
    <t xml:space="preserve">H-02</t>
  </si>
  <si>
    <t xml:space="preserve">Software Developer</t>
  </si>
  <si>
    <t xml:space="preserve">H-03</t>
  </si>
  <si>
    <t xml:space="preserve">H-04</t>
  </si>
  <si>
    <t xml:space="preserve">Accountant</t>
  </si>
  <si>
    <t xml:space="preserve">H-05</t>
  </si>
  <si>
    <t xml:space="preserve">Operations Analyst</t>
  </si>
  <si>
    <t xml:space="preserve">H-06</t>
  </si>
  <si>
    <t xml:space="preserve">H-07</t>
  </si>
  <si>
    <t xml:space="preserve">HR Assistant</t>
  </si>
  <si>
    <t xml:space="preserve">H-08</t>
  </si>
  <si>
    <t xml:space="preserve">Graphic Designer</t>
  </si>
  <si>
    <t xml:space="preserve">H-09</t>
  </si>
  <si>
    <t xml:space="preserve">H-10</t>
  </si>
  <si>
    <t xml:space="preserve">Average days-to-hire</t>
  </si>
  <si>
    <t xml:space="preserve">Hires in sample</t>
  </si>
  <si>
    <t xml:space="preserve">Onboarding Tracker</t>
  </si>
  <si>
    <t xml:space="preserve">Day 10 snapshot for the 3 pilot hires (dummy). 5 mandatory LMS modules each. Reminder rule R8 fires on Day 10 if modules are incomplete.</t>
  </si>
  <si>
    <t xml:space="preserve">New hire</t>
  </si>
  <si>
    <t xml:space="preserve">Start date</t>
  </si>
  <si>
    <t xml:space="preserve">Current day</t>
  </si>
  <si>
    <t xml:space="preserve">Checklist created</t>
  </si>
  <si>
    <t xml:space="preserve">IT access ready Day 1</t>
  </si>
  <si>
    <t xml:space="preserve">LMS enrolled</t>
  </si>
  <si>
    <t xml:space="preserve">Modules done</t>
  </si>
  <si>
    <t xml:space="preserve">Modules assigned</t>
  </si>
  <si>
    <t xml:space="preserve">LMS completion</t>
  </si>
  <si>
    <t xml:space="preserve">Reminder (Day 10)</t>
  </si>
  <si>
    <t xml:space="preserve">Day 14 status</t>
  </si>
  <si>
    <t xml:space="preserve">Mahnoor Tariq</t>
  </si>
  <si>
    <t xml:space="preserve">Faizan Ahmed</t>
  </si>
  <si>
    <t xml:space="preserve">Sana Iqbal</t>
  </si>
  <si>
    <t xml:space="preserve">Average LMS completion</t>
  </si>
  <si>
    <t xml:space="preserve">Pilot Results (Week 3)</t>
  </si>
  <si>
    <t xml:space="preserve">Counts are from the simulated 5-day pilot. P3 first read was 17 of 21 (81.0%) before the working-day formula fix; the corrected 19 of 21 is shown.</t>
  </si>
  <si>
    <t xml:space="preserve">ID</t>
  </si>
  <si>
    <t xml:space="preserve">Metric</t>
  </si>
  <si>
    <t xml:space="preserve">Sample (n)</t>
  </si>
  <si>
    <t xml:space="preserve">On target (count)</t>
  </si>
  <si>
    <t xml:space="preserve">Result</t>
  </si>
  <si>
    <t xml:space="preserve">Met target?</t>
  </si>
  <si>
    <t xml:space="preserve">Counts toward SLA total?</t>
  </si>
  <si>
    <t xml:space="preserve">P1</t>
  </si>
  <si>
    <t xml:space="preserve">Application acknowledged within 24 hours</t>
  </si>
  <si>
    <t xml:space="preserve">P2</t>
  </si>
  <si>
    <t xml:space="preserve">Seeded duplicates flagged</t>
  </si>
  <si>
    <t xml:space="preserve">P3</t>
  </si>
  <si>
    <t xml:space="preserve">Screening within 3 working days</t>
  </si>
  <si>
    <t xml:space="preserve">P4</t>
  </si>
  <si>
    <t xml:space="preserve">Scorecards submitted within 24 hours</t>
  </si>
  <si>
    <t xml:space="preserve">P5</t>
  </si>
  <si>
    <t xml:space="preserve">Scorecards complete (evidence on every criterion)</t>
  </si>
  <si>
    <t xml:space="preserve">P6</t>
  </si>
  <si>
    <t xml:space="preserve">Decision within 2 working days</t>
  </si>
  <si>
    <t xml:space="preserve">P7</t>
  </si>
  <si>
    <t xml:space="preserve">Offer sent within 1 working day</t>
  </si>
  <si>
    <t xml:space="preserve">P8</t>
  </si>
  <si>
    <t xml:space="preserve">Offer signed within 3 working days</t>
  </si>
  <si>
    <t xml:space="preserve">P9</t>
  </si>
  <si>
    <t xml:space="preserve">IT access ready on Day 1</t>
  </si>
  <si>
    <t xml:space="preserve">P10</t>
  </si>
  <si>
    <t xml:space="preserve">Onboarding checklist created automatically</t>
  </si>
  <si>
    <t xml:space="preserve">P11</t>
  </si>
  <si>
    <t xml:space="preserve">LMS modules completed by Day 5 (interim, module slots)</t>
  </si>
  <si>
    <t xml:space="preserve">P12</t>
  </si>
  <si>
    <t xml:space="preserve">Candidate satisfaction (4 or 5 of 5)</t>
  </si>
  <si>
    <t xml:space="preserve">Pilot performance score (metrics at target)</t>
  </si>
  <si>
    <t xml:space="preserve">Pilot goal</t>
  </si>
  <si>
    <t xml:space="preserve">Goal met?</t>
  </si>
  <si>
    <t xml:space="preserve">SLA checkpoints on time</t>
  </si>
  <si>
    <t xml:space="preserve">SLA checkpoints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</si>
</sst>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%"/>
    <numFmt numFmtId="167" formatCode="0"/>
    <numFmt numFmtId="168" formatCode="0.0%"/>
    <numFmt numFmtId="169" formatCode="yyyy\-mm\-dd\ hh:mm"/>
    <numFmt numFmtId="170" formatCode="0.00"/>
    <numFmt numFmtId="171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766E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202A"/>
        <bgColor rgb="FF003300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78787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Candidates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KPI_Dashboard!B17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KPI_Dashboard!$A$18:$A$24</c:f>
              <c:strCache>
                <c:ptCount val="7"/>
                <c:pt idx="0">
                  <c:v>Applied</c:v>
                </c:pt>
                <c:pt idx="1">
                  <c:v>Screening</c:v>
                </c:pt>
                <c:pt idx="2">
                  <c:v>Interview</c:v>
                </c:pt>
                <c:pt idx="3">
                  <c:v>Decision</c:v>
                </c:pt>
                <c:pt idx="4">
                  <c:v>Offer</c:v>
                </c:pt>
                <c:pt idx="5">
                  <c:v>Hired</c:v>
                </c:pt>
                <c:pt idx="6">
                  <c:v>Rejected</c:v>
                </c:pt>
              </c:strCache>
            </c:strRef>
          </c:cat>
          <c:val>
            <c:numRef>
              <c:f>KPI_Dashboard!$B$18:$B$24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84155315"/>
        <c:axId val="29858054"/>
      </c:barChart>
      <c:catAx>
        <c:axId val="84155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58054"/>
        <c:crosses val="autoZero"/>
        <c:auto val="1"/>
        <c:lblAlgn val="ctr"/>
        <c:lblOffset val="100"/>
        <c:noMultiLvlLbl val="0"/>
      </c:catAx>
      <c:valAx>
        <c:axId val="29858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55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Pilot metrics: result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Pilot_Results!C4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Pilot_Results!$A$5:$A$16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Pilot_Results!$C$5:$C$16</c:f>
              <c:numCache>
                <c:formatCode>0%</c:formatCode>
                <c:ptCount val="12"/>
                <c:pt idx="0">
                  <c:v>0.95</c:v>
                </c:pt>
                <c:pt idx="1">
                  <c:v>1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0.8</c:v>
                </c:pt>
                <c:pt idx="8">
                  <c:v>1</c:v>
                </c:pt>
                <c:pt idx="9">
                  <c:v>1</c:v>
                </c:pt>
                <c:pt idx="10">
                  <c:v>0.6</c:v>
                </c:pt>
                <c:pt idx="11">
                  <c:v>0.85</c:v>
                </c:pt>
              </c:numCache>
            </c:numRef>
          </c:val>
        </c:ser>
        <c:ser>
          <c:idx val="1"/>
          <c:order val="1"/>
          <c:tx>
            <c:strRef>
              <c:f>Pilot_Results!F4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Pilot_Results!$A$5:$A$16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Pilot_Results!$F$5:$F$16</c:f>
              <c:numCache>
                <c:formatCode>0.0%</c:formatCode>
                <c:ptCount val="12"/>
                <c:pt idx="0">
                  <c:v>0.958333333333333</c:v>
                </c:pt>
                <c:pt idx="1">
                  <c:v>1</c:v>
                </c:pt>
                <c:pt idx="2">
                  <c:v>0.904761904761905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0.733333333333333</c:v>
                </c:pt>
                <c:pt idx="11">
                  <c:v>0.85</c:v>
                </c:pt>
              </c:numCache>
            </c:numRef>
          </c:val>
        </c:ser>
        <c:gapWidth val="150"/>
        <c:overlap val="0"/>
        <c:axId val="62127653"/>
        <c:axId val="6714909"/>
      </c:barChart>
      <c:catAx>
        <c:axId val="62127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4909"/>
        <c:crosses val="autoZero"/>
        <c:auto val="1"/>
        <c:lblAlgn val="ctr"/>
        <c:lblOffset val="100"/>
        <c:noMultiLvlLbl val="0"/>
      </c:catAx>
      <c:valAx>
        <c:axId val="6714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27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14</xdr:row>
      <xdr:rowOff>160920</xdr:rowOff>
    </xdr:from>
    <xdr:to>
      <xdr:col>5</xdr:col>
      <xdr:colOff>3207240</xdr:colOff>
      <xdr:row>27</xdr:row>
      <xdr:rowOff>174240</xdr:rowOff>
    </xdr:to>
    <xdr:graphicFrame>
      <xdr:nvGraphicFramePr>
        <xdr:cNvPr id="0" name="Chart 1"/>
        <xdr:cNvGraphicFramePr/>
      </xdr:nvGraphicFramePr>
      <xdr:xfrm>
        <a:off x="4229280" y="30672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160920</xdr:rowOff>
    </xdr:from>
    <xdr:to>
      <xdr:col>5</xdr:col>
      <xdr:colOff>1857960</xdr:colOff>
      <xdr:row>41</xdr:row>
      <xdr:rowOff>182880</xdr:rowOff>
    </xdr:to>
    <xdr:graphicFrame>
      <xdr:nvGraphicFramePr>
        <xdr:cNvPr id="1" name="Chart 2"/>
        <xdr:cNvGraphicFramePr/>
      </xdr:nvGraphicFramePr>
      <xdr:xfrm>
        <a:off x="0" y="55627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43.5" hidden="false" customHeight="true" outlineLevel="0" collapsed="false">
      <c r="A3" s="3" t="s">
        <v>1</v>
      </c>
      <c r="B3" s="4" t="s">
        <v>2</v>
      </c>
    </row>
    <row r="4" customFormat="false" ht="43.5" hidden="false" customHeight="true" outlineLevel="0" collapsed="false">
      <c r="A4" s="3" t="s">
        <v>3</v>
      </c>
      <c r="B4" s="4" t="s">
        <v>4</v>
      </c>
    </row>
    <row r="5" customFormat="false" ht="43.5" hidden="false" customHeight="true" outlineLevel="0" collapsed="false">
      <c r="A5" s="3" t="s">
        <v>5</v>
      </c>
      <c r="B5" s="4" t="s">
        <v>6</v>
      </c>
    </row>
    <row r="6" customFormat="false" ht="43.5" hidden="false" customHeight="true" outlineLevel="0" collapsed="false">
      <c r="A6" s="3" t="s">
        <v>7</v>
      </c>
      <c r="B6" s="4" t="s">
        <v>8</v>
      </c>
    </row>
    <row r="7" customFormat="false" ht="43.5" hidden="false" customHeight="true" outlineLevel="0" collapsed="false">
      <c r="A7" s="3" t="s">
        <v>9</v>
      </c>
      <c r="B7" s="4" t="s">
        <v>10</v>
      </c>
    </row>
    <row r="8" customFormat="false" ht="43.5" hidden="false" customHeight="true" outlineLevel="0" collapsed="false">
      <c r="A8" s="3" t="s">
        <v>11</v>
      </c>
      <c r="B8" s="4" t="s">
        <v>12</v>
      </c>
    </row>
    <row r="9" customFormat="false" ht="43.5" hidden="false" customHeight="true" outlineLevel="0" collapsed="false">
      <c r="A9" s="3" t="s">
        <v>13</v>
      </c>
      <c r="B9" s="4" t="s">
        <v>14</v>
      </c>
    </row>
    <row r="10" customFormat="false" ht="43.5" hidden="false" customHeight="true" outlineLevel="0" collapsed="false">
      <c r="A10" s="3" t="s">
        <v>15</v>
      </c>
      <c r="B10" s="4" t="s">
        <v>16</v>
      </c>
    </row>
    <row r="11" customFormat="false" ht="43.5" hidden="false" customHeight="true" outlineLevel="0" collapsed="false">
      <c r="A11" s="3" t="s">
        <v>17</v>
      </c>
      <c r="B11" s="4" t="s">
        <v>18</v>
      </c>
    </row>
    <row r="12" customFormat="false" ht="43.5" hidden="false" customHeight="true" outlineLevel="0" collapsed="false">
      <c r="A12" s="3" t="s">
        <v>19</v>
      </c>
      <c r="B12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1" t="s">
        <v>21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5" t="s">
        <v>22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</row>
    <row r="5" customFormat="false" ht="15" hidden="false" customHeight="false" outlineLevel="0" collapsed="false">
      <c r="A5" s="7" t="s">
        <v>29</v>
      </c>
      <c r="B5" s="8" t="n">
        <f aca="false">Hires_Sample!E16</f>
        <v>45</v>
      </c>
      <c r="C5" s="9" t="n">
        <v>25</v>
      </c>
      <c r="D5" s="9" t="n">
        <v>23</v>
      </c>
      <c r="E5" s="7" t="str">
        <f aca="false">IF(D5&lt;=C5,"Met","Not met")</f>
        <v>Met</v>
      </c>
      <c r="F5" s="10" t="s">
        <v>30</v>
      </c>
    </row>
    <row r="6" customFormat="false" ht="15" hidden="false" customHeight="false" outlineLevel="0" collapsed="false">
      <c r="A6" s="7" t="s">
        <v>31</v>
      </c>
      <c r="B6" s="11" t="n">
        <f aca="false">Hires_Sample!E17</f>
        <v>0.7</v>
      </c>
      <c r="C6" s="12" t="n">
        <v>0.9</v>
      </c>
      <c r="D6" s="13" t="s">
        <v>32</v>
      </c>
      <c r="E6" s="7" t="str">
        <f aca="false">IF(ISNUMBER(D6),IF(D6&gt;=C6,"Met","Not met"),"Pending")</f>
        <v>Pending</v>
      </c>
      <c r="F6" s="10" t="s">
        <v>33</v>
      </c>
    </row>
    <row r="7" customFormat="false" ht="15" hidden="false" customHeight="false" outlineLevel="0" collapsed="false">
      <c r="A7" s="7" t="s">
        <v>34</v>
      </c>
      <c r="B7" s="14" t="n">
        <v>96</v>
      </c>
      <c r="C7" s="9" t="n">
        <v>24</v>
      </c>
      <c r="D7" s="8" t="n">
        <f aca="false">MEDIAN(Scorecard!N5:N40)</f>
        <v>19</v>
      </c>
      <c r="E7" s="7" t="str">
        <f aca="false">IF(D7&lt;=C7,"Met","Not met")</f>
        <v>Met</v>
      </c>
      <c r="F7" s="10" t="s">
        <v>35</v>
      </c>
    </row>
    <row r="8" customFormat="false" ht="15" hidden="false" customHeight="false" outlineLevel="0" collapsed="false">
      <c r="A8" s="7" t="s">
        <v>36</v>
      </c>
      <c r="B8" s="13" t="s">
        <v>37</v>
      </c>
      <c r="C8" s="12" t="n">
        <v>0.9</v>
      </c>
      <c r="D8" s="11" t="n">
        <f aca="false">COUNTIF(Scorecard!O5:O40,"On time")/COUNTA(Scorecard!B5:B40)</f>
        <v>0.8</v>
      </c>
      <c r="E8" s="7" t="str">
        <f aca="false">IF(D8&gt;=C8,"Met","Not met")</f>
        <v>Not met</v>
      </c>
      <c r="F8" s="10" t="s">
        <v>38</v>
      </c>
    </row>
    <row r="9" customFormat="false" ht="15" hidden="false" customHeight="false" outlineLevel="0" collapsed="false">
      <c r="A9" s="7" t="s">
        <v>39</v>
      </c>
      <c r="B9" s="13" t="s">
        <v>40</v>
      </c>
      <c r="C9" s="12" t="n">
        <v>0.85</v>
      </c>
      <c r="D9" s="11" t="n">
        <f aca="false">Pilot_Results!F16</f>
        <v>0.85</v>
      </c>
      <c r="E9" s="7" t="str">
        <f aca="false">IF(D9&gt;=C9,"Met","Not met")</f>
        <v>Met</v>
      </c>
      <c r="F9" s="10" t="s">
        <v>41</v>
      </c>
    </row>
    <row r="10" customFormat="false" ht="15" hidden="false" customHeight="false" outlineLevel="0" collapsed="false">
      <c r="A10" s="7" t="s">
        <v>42</v>
      </c>
      <c r="B10" s="13" t="s">
        <v>40</v>
      </c>
      <c r="C10" s="15" t="n">
        <v>1</v>
      </c>
      <c r="D10" s="16" t="n">
        <f aca="false">Onboarding!J16</f>
        <v>0.933333333333333</v>
      </c>
      <c r="E10" s="7" t="str">
        <f aca="false">IF(D10&gt;=C10,"Met",IF(D10&gt;=0.9,"On track","Behind"))</f>
        <v>On track</v>
      </c>
      <c r="F10" s="10" t="s">
        <v>43</v>
      </c>
    </row>
    <row r="11" customFormat="false" ht="15" hidden="false" customHeight="false" outlineLevel="0" collapsed="false">
      <c r="A11" s="7" t="s">
        <v>44</v>
      </c>
      <c r="B11" s="13" t="s">
        <v>45</v>
      </c>
      <c r="C11" s="15" t="n">
        <v>0.8</v>
      </c>
      <c r="D11" s="16" t="n">
        <f aca="false">Pilot_Results!F18</f>
        <v>0.833333333333333</v>
      </c>
      <c r="E11" s="7" t="str">
        <f aca="false">IF(D11&gt;=C11,"Met","Not met")</f>
        <v>Met</v>
      </c>
      <c r="F11" s="10" t="s">
        <v>46</v>
      </c>
    </row>
    <row r="12" customFormat="false" ht="15" hidden="false" customHeight="false" outlineLevel="0" collapsed="false">
      <c r="A12" s="7" t="s">
        <v>47</v>
      </c>
      <c r="B12" s="13" t="s">
        <v>45</v>
      </c>
      <c r="C12" s="15" t="n">
        <v>0.9</v>
      </c>
      <c r="D12" s="16" t="n">
        <f aca="false">Pilot_Results!F23</f>
        <v>0.90625</v>
      </c>
      <c r="E12" s="7" t="str">
        <f aca="false">IF(D12&gt;=C12,"Met","Not met")</f>
        <v>Met</v>
      </c>
      <c r="F12" s="10" t="s">
        <v>48</v>
      </c>
    </row>
    <row r="13" customFormat="false" ht="15" hidden="false" customHeight="false" outlineLevel="0" collapsed="false">
      <c r="A13" s="7" t="s">
        <v>49</v>
      </c>
      <c r="B13" s="13" t="s">
        <v>37</v>
      </c>
      <c r="C13" s="13" t="s">
        <v>45</v>
      </c>
      <c r="D13" s="17" t="n">
        <f aca="false">COUNTIF(Candidates!N5:N44,"Duplicate")</f>
        <v>4</v>
      </c>
      <c r="E13" s="7" t="str">
        <f aca="false">IF(D13&gt;0,"Review","None")</f>
        <v>Review</v>
      </c>
      <c r="F13" s="10" t="s">
        <v>50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3" t="s">
        <v>51</v>
      </c>
      <c r="B16" s="2"/>
      <c r="C16" s="2"/>
      <c r="D16" s="2"/>
      <c r="E16" s="2"/>
      <c r="F16" s="2"/>
    </row>
    <row r="17" customFormat="false" ht="31.5" hidden="false" customHeight="true" outlineLevel="0" collapsed="false">
      <c r="A17" s="6" t="s">
        <v>52</v>
      </c>
      <c r="B17" s="6" t="s">
        <v>7</v>
      </c>
      <c r="C17" s="2"/>
      <c r="D17" s="2"/>
      <c r="E17" s="2"/>
      <c r="F17" s="2"/>
    </row>
    <row r="18" customFormat="false" ht="15" hidden="false" customHeight="false" outlineLevel="0" collapsed="false">
      <c r="A18" s="7" t="s">
        <v>53</v>
      </c>
      <c r="B18" s="7" t="n">
        <f aca="false">COUNTIF(Candidates!$G$5:$G$44,A18)</f>
        <v>4</v>
      </c>
      <c r="C18" s="2"/>
      <c r="D18" s="2"/>
      <c r="E18" s="2"/>
      <c r="F18" s="2"/>
    </row>
    <row r="19" customFormat="false" ht="15" hidden="false" customHeight="false" outlineLevel="0" collapsed="false">
      <c r="A19" s="7" t="s">
        <v>54</v>
      </c>
      <c r="B19" s="7" t="n">
        <f aca="false">COUNTIF(Candidates!$G$5:$G$44,A19)</f>
        <v>2</v>
      </c>
      <c r="C19" s="2"/>
      <c r="D19" s="2"/>
      <c r="E19" s="2"/>
      <c r="F19" s="2"/>
    </row>
    <row r="20" customFormat="false" ht="15" hidden="false" customHeight="false" outlineLevel="0" collapsed="false">
      <c r="A20" s="7" t="s">
        <v>55</v>
      </c>
      <c r="B20" s="7" t="n">
        <f aca="false">COUNTIF(Candidates!$G$5:$G$44,A20)</f>
        <v>2</v>
      </c>
      <c r="C20" s="2"/>
      <c r="D20" s="2"/>
      <c r="E20" s="2"/>
      <c r="F20" s="2"/>
    </row>
    <row r="21" customFormat="false" ht="15" hidden="false" customHeight="false" outlineLevel="0" collapsed="false">
      <c r="A21" s="7" t="s">
        <v>56</v>
      </c>
      <c r="B21" s="7" t="n">
        <f aca="false">COUNTIF(Candidates!$G$5:$G$44,A21)</f>
        <v>1</v>
      </c>
      <c r="C21" s="2"/>
      <c r="D21" s="2"/>
      <c r="E21" s="2"/>
      <c r="F21" s="2"/>
    </row>
    <row r="22" customFormat="false" ht="15" hidden="false" customHeight="false" outlineLevel="0" collapsed="false">
      <c r="A22" s="7" t="s">
        <v>57</v>
      </c>
      <c r="B22" s="7" t="n">
        <f aca="false">COUNTIF(Candidates!$G$5:$G$44,A22)</f>
        <v>1</v>
      </c>
      <c r="C22" s="2"/>
      <c r="D22" s="2"/>
      <c r="E22" s="2"/>
      <c r="F22" s="2"/>
    </row>
    <row r="23" customFormat="false" ht="15" hidden="false" customHeight="false" outlineLevel="0" collapsed="false">
      <c r="A23" s="7" t="s">
        <v>58</v>
      </c>
      <c r="B23" s="7" t="n">
        <f aca="false">COUNTIF(Candidates!$G$5:$G$44,A23)</f>
        <v>1</v>
      </c>
      <c r="C23" s="2"/>
      <c r="D23" s="2"/>
      <c r="E23" s="2"/>
      <c r="F23" s="2"/>
    </row>
    <row r="24" customFormat="false" ht="15" hidden="false" customHeight="false" outlineLevel="0" collapsed="false">
      <c r="A24" s="7" t="s">
        <v>59</v>
      </c>
      <c r="B24" s="7" t="n">
        <f aca="false">COUNTIF(Candidates!$G$5:$G$44,A24)</f>
        <v>1</v>
      </c>
      <c r="C24" s="2"/>
      <c r="D24" s="2"/>
      <c r="E24" s="2"/>
      <c r="F24" s="2"/>
    </row>
    <row r="25" customFormat="false" ht="15" hidden="false" customHeight="false" outlineLevel="0" collapsed="false">
      <c r="A25" s="18" t="s">
        <v>60</v>
      </c>
      <c r="B25" s="18" t="n">
        <f aca="false">SUM(B18:B24)</f>
        <v>12</v>
      </c>
      <c r="C25" s="2"/>
      <c r="D25" s="2"/>
      <c r="E25" s="2"/>
      <c r="F25" s="2"/>
    </row>
  </sheetData>
  <conditionalFormatting sqref="E5:E13">
    <cfRule type="cellIs" priority="2" operator="equal" aboveAverage="0" equalAverage="0" bottom="0" percent="0" rank="0" text="" dxfId="0">
      <formula>"Met"</formula>
    </cfRule>
    <cfRule type="cellIs" priority="3" operator="equal" aboveAverage="0" equalAverage="0" bottom="0" percent="0" rank="0" text="" dxfId="1">
      <formula>"Not met"</formula>
    </cfRule>
    <cfRule type="cellIs" priority="4" operator="equal" aboveAverage="0" equalAverage="0" bottom="0" percent="0" rank="0" text="" dxfId="1">
      <formula>"Behind"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19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19" t="s">
        <v>61</v>
      </c>
      <c r="B2" s="20" t="n">
        <v>60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9" t="s">
        <v>62</v>
      </c>
      <c r="B3" s="20" t="n">
        <v>24</v>
      </c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19" t="s">
        <v>63</v>
      </c>
      <c r="B4" s="20" t="n">
        <v>24</v>
      </c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19" t="s">
        <v>64</v>
      </c>
      <c r="B5" s="20" t="n">
        <v>1.5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19" t="s">
        <v>65</v>
      </c>
      <c r="B6" s="20" t="n">
        <v>4</v>
      </c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19" t="s">
        <v>66</v>
      </c>
      <c r="B7" s="20" t="n">
        <v>3</v>
      </c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19" t="s">
        <v>67</v>
      </c>
      <c r="B8" s="20" t="n">
        <v>3</v>
      </c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3" t="s">
        <v>68</v>
      </c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60</v>
      </c>
      <c r="H11" s="2"/>
    </row>
    <row r="12" customFormat="false" ht="15" hidden="false" customHeight="false" outlineLevel="0" collapsed="false">
      <c r="A12" s="19" t="s">
        <v>75</v>
      </c>
      <c r="B12" s="21" t="n">
        <v>0.3</v>
      </c>
      <c r="C12" s="21" t="n">
        <v>0.2</v>
      </c>
      <c r="D12" s="21" t="n">
        <v>0.2</v>
      </c>
      <c r="E12" s="21" t="n">
        <v>0.15</v>
      </c>
      <c r="F12" s="21" t="n">
        <v>0.15</v>
      </c>
      <c r="G12" s="22" t="n">
        <f aca="false">SUM(B12:F12)</f>
        <v>1</v>
      </c>
      <c r="H12" s="19" t="str">
        <f aca="false">IF(ROUND(G12,4)=1,"OK","Weights must total 100%")</f>
        <v>OK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5" t="s">
        <v>76</v>
      </c>
      <c r="B14" s="2"/>
      <c r="C14" s="2"/>
      <c r="D14" s="2"/>
      <c r="E14" s="2"/>
      <c r="F14" s="2"/>
      <c r="G14" s="2"/>
      <c r="H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7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22"/>
  </cols>
  <sheetData>
    <row r="1" customFormat="false" ht="17.35" hidden="false" customHeight="false" outlineLevel="0" collapsed="false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5" t="s">
        <v>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31.5" hidden="false" customHeight="true" outlineLevel="0" collapsed="false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  <c r="F4" s="6" t="s">
        <v>28</v>
      </c>
      <c r="G4" s="6" t="s">
        <v>52</v>
      </c>
      <c r="H4" s="6" t="s">
        <v>53</v>
      </c>
      <c r="I4" s="6" t="s">
        <v>84</v>
      </c>
      <c r="J4" s="6" t="s">
        <v>85</v>
      </c>
      <c r="K4" s="6" t="s">
        <v>86</v>
      </c>
      <c r="L4" s="6" t="s">
        <v>87</v>
      </c>
      <c r="M4" s="6" t="s">
        <v>88</v>
      </c>
      <c r="N4" s="6" t="s">
        <v>89</v>
      </c>
      <c r="O4" s="6" t="s">
        <v>90</v>
      </c>
    </row>
    <row r="5" customFormat="false" ht="15" hidden="false" customHeight="false" outlineLevel="0" collapsed="false">
      <c r="A5" s="13" t="s">
        <v>91</v>
      </c>
      <c r="B5" s="13" t="s">
        <v>92</v>
      </c>
      <c r="C5" s="13" t="s">
        <v>93</v>
      </c>
      <c r="D5" s="13" t="s">
        <v>94</v>
      </c>
      <c r="E5" s="13" t="s">
        <v>95</v>
      </c>
      <c r="F5" s="13" t="s">
        <v>96</v>
      </c>
      <c r="G5" s="13" t="s">
        <v>55</v>
      </c>
      <c r="H5" s="23" t="n">
        <v>46307.375</v>
      </c>
      <c r="I5" s="23" t="n">
        <v>46307.5</v>
      </c>
      <c r="J5" s="8" t="n">
        <f aca="false">IF(OR(H5="",I5=""),"",ROUND((I5-H5)*24,1))</f>
        <v>3</v>
      </c>
      <c r="K5" s="7" t="str">
        <f aca="false">IF(J5="","",IF(J5&lt;=Settings!$B$4,"On time","Late"))</f>
        <v>On time</v>
      </c>
      <c r="L5" s="13" t="n">
        <v>78</v>
      </c>
      <c r="M5" s="7" t="str">
        <f aca="false">IF(L5="","",IF(L5&gt;=Settings!$B$2,"Shortlist","Below cut-off"))</f>
        <v>Shortlist</v>
      </c>
      <c r="N5" s="7" t="str">
        <f aca="false">IF(C5="","",IF(COUNTIF($C$5:$C$44,C5)&gt;1,"Duplicate","OK"))</f>
        <v>Duplicate</v>
      </c>
      <c r="O5" s="13"/>
    </row>
    <row r="6" customFormat="false" ht="15" hidden="false" customHeight="false" outlineLevel="0" collapsed="false">
      <c r="A6" s="13" t="s">
        <v>97</v>
      </c>
      <c r="B6" s="13" t="s">
        <v>98</v>
      </c>
      <c r="C6" s="13" t="s">
        <v>99</v>
      </c>
      <c r="D6" s="13" t="s">
        <v>94</v>
      </c>
      <c r="E6" s="13" t="s">
        <v>95</v>
      </c>
      <c r="F6" s="13" t="s">
        <v>100</v>
      </c>
      <c r="G6" s="13" t="s">
        <v>54</v>
      </c>
      <c r="H6" s="23" t="n">
        <v>46308</v>
      </c>
      <c r="I6" s="23" t="n">
        <v>46308.2083333333</v>
      </c>
      <c r="J6" s="8" t="n">
        <f aca="false">IF(OR(H6="",I6=""),"",ROUND((I6-H6)*24,1))</f>
        <v>5</v>
      </c>
      <c r="K6" s="7" t="str">
        <f aca="false">IF(J6="","",IF(J6&lt;=Settings!$B$4,"On time","Late"))</f>
        <v>On time</v>
      </c>
      <c r="L6" s="13" t="n">
        <v>66</v>
      </c>
      <c r="M6" s="7" t="str">
        <f aca="false">IF(L6="","",IF(L6&gt;=Settings!$B$2,"Shortlist","Below cut-off"))</f>
        <v>Shortlist</v>
      </c>
      <c r="N6" s="7" t="str">
        <f aca="false">IF(C6="","",IF(COUNTIF($C$5:$C$44,C6)&gt;1,"Duplicate","OK"))</f>
        <v>OK</v>
      </c>
      <c r="O6" s="13"/>
    </row>
    <row r="7" customFormat="false" ht="15" hidden="false" customHeight="false" outlineLevel="0" collapsed="false">
      <c r="A7" s="13" t="s">
        <v>101</v>
      </c>
      <c r="B7" s="13" t="s">
        <v>102</v>
      </c>
      <c r="C7" s="13" t="s">
        <v>103</v>
      </c>
      <c r="D7" s="13" t="s">
        <v>94</v>
      </c>
      <c r="E7" s="13" t="s">
        <v>95</v>
      </c>
      <c r="F7" s="13" t="s">
        <v>104</v>
      </c>
      <c r="G7" s="13" t="s">
        <v>59</v>
      </c>
      <c r="H7" s="23" t="n">
        <v>46308.625</v>
      </c>
      <c r="I7" s="23" t="n">
        <v>46308.7083333333</v>
      </c>
      <c r="J7" s="8" t="n">
        <f aca="false">IF(OR(H7="",I7=""),"",ROUND((I7-H7)*24,1))</f>
        <v>2</v>
      </c>
      <c r="K7" s="7" t="str">
        <f aca="false">IF(J7="","",IF(J7&lt;=Settings!$B$4,"On time","Late"))</f>
        <v>On time</v>
      </c>
      <c r="L7" s="13" t="n">
        <v>48</v>
      </c>
      <c r="M7" s="7" t="str">
        <f aca="false">IF(L7="","",IF(L7&gt;=Settings!$B$2,"Shortlist","Below cut-off"))</f>
        <v>Below cut-off</v>
      </c>
      <c r="N7" s="7" t="str">
        <f aca="false">IF(C7="","",IF(COUNTIF($C$5:$C$44,C7)&gt;1,"Duplicate","OK"))</f>
        <v>OK</v>
      </c>
      <c r="O7" s="13" t="s">
        <v>105</v>
      </c>
    </row>
    <row r="8" customFormat="false" ht="15" hidden="false" customHeight="false" outlineLevel="0" collapsed="false">
      <c r="A8" s="13" t="s">
        <v>106</v>
      </c>
      <c r="B8" s="13" t="s">
        <v>107</v>
      </c>
      <c r="C8" s="13" t="s">
        <v>108</v>
      </c>
      <c r="D8" s="13" t="s">
        <v>94</v>
      </c>
      <c r="E8" s="13" t="s">
        <v>95</v>
      </c>
      <c r="F8" s="13" t="s">
        <v>81</v>
      </c>
      <c r="G8" s="13" t="s">
        <v>54</v>
      </c>
      <c r="H8" s="23" t="n">
        <v>46309.875</v>
      </c>
      <c r="I8" s="23" t="n">
        <v>46310.7916666667</v>
      </c>
      <c r="J8" s="8" t="n">
        <f aca="false">IF(OR(H8="",I8=""),"",ROUND((I8-H8)*24,1))</f>
        <v>22</v>
      </c>
      <c r="K8" s="7" t="str">
        <f aca="false">IF(J8="","",IF(J8&lt;=Settings!$B$4,"On time","Late"))</f>
        <v>On time</v>
      </c>
      <c r="L8" s="13" t="n">
        <v>71</v>
      </c>
      <c r="M8" s="7" t="str">
        <f aca="false">IF(L8="","",IF(L8&gt;=Settings!$B$2,"Shortlist","Below cut-off"))</f>
        <v>Shortlist</v>
      </c>
      <c r="N8" s="7" t="str">
        <f aca="false">IF(C8="","",IF(COUNTIF($C$5:$C$44,C8)&gt;1,"Duplicate","OK"))</f>
        <v>Duplicate</v>
      </c>
      <c r="O8" s="13"/>
    </row>
    <row r="9" customFormat="false" ht="15" hidden="false" customHeight="false" outlineLevel="0" collapsed="false">
      <c r="A9" s="13" t="s">
        <v>109</v>
      </c>
      <c r="B9" s="13" t="s">
        <v>110</v>
      </c>
      <c r="C9" s="13" t="s">
        <v>111</v>
      </c>
      <c r="D9" s="13" t="s">
        <v>94</v>
      </c>
      <c r="E9" s="13" t="s">
        <v>95</v>
      </c>
      <c r="F9" s="13" t="s">
        <v>100</v>
      </c>
      <c r="G9" s="13" t="s">
        <v>53</v>
      </c>
      <c r="H9" s="23" t="n">
        <v>46310.625</v>
      </c>
      <c r="I9" s="23" t="n">
        <v>46310.7916666667</v>
      </c>
      <c r="J9" s="8" t="n">
        <f aca="false">IF(OR(H9="",I9=""),"",ROUND((I9-H9)*24,1))</f>
        <v>4</v>
      </c>
      <c r="K9" s="7" t="str">
        <f aca="false">IF(J9="","",IF(J9&lt;=Settings!$B$4,"On time","Late"))</f>
        <v>On time</v>
      </c>
      <c r="L9" s="13"/>
      <c r="M9" s="7" t="str">
        <f aca="false">IF(L9="","",IF(L9&gt;=Settings!$B$2,"Shortlist","Below cut-off"))</f>
        <v/>
      </c>
      <c r="N9" s="7" t="str">
        <f aca="false">IF(C9="","",IF(COUNTIF($C$5:$C$44,C9)&gt;1,"Duplicate","OK"))</f>
        <v>OK</v>
      </c>
      <c r="O9" s="13"/>
    </row>
    <row r="10" customFormat="false" ht="15" hidden="false" customHeight="false" outlineLevel="0" collapsed="false">
      <c r="A10" s="13" t="s">
        <v>112</v>
      </c>
      <c r="B10" s="13" t="s">
        <v>113</v>
      </c>
      <c r="C10" s="13" t="s">
        <v>114</v>
      </c>
      <c r="D10" s="13" t="s">
        <v>94</v>
      </c>
      <c r="E10" s="13" t="s">
        <v>95</v>
      </c>
      <c r="F10" s="13" t="s">
        <v>96</v>
      </c>
      <c r="G10" s="13" t="s">
        <v>53</v>
      </c>
      <c r="H10" s="23" t="n">
        <v>46311.125</v>
      </c>
      <c r="I10" s="23" t="n">
        <v>46312.375</v>
      </c>
      <c r="J10" s="8" t="n">
        <f aca="false">IF(OR(H10="",I10=""),"",ROUND((I10-H10)*24,1))</f>
        <v>30</v>
      </c>
      <c r="K10" s="7" t="str">
        <f aca="false">IF(J10="","",IF(J10&lt;=Settings!$B$4,"On time","Late"))</f>
        <v>Late</v>
      </c>
      <c r="L10" s="13"/>
      <c r="M10" s="7" t="str">
        <f aca="false">IF(L10="","",IF(L10&gt;=Settings!$B$2,"Shortlist","Below cut-off"))</f>
        <v/>
      </c>
      <c r="N10" s="7" t="str">
        <f aca="false">IF(C10="","",IF(COUNTIF($C$5:$C$44,C10)&gt;1,"Duplicate","OK"))</f>
        <v>OK</v>
      </c>
      <c r="O10" s="13"/>
    </row>
    <row r="11" customFormat="false" ht="15" hidden="false" customHeight="false" outlineLevel="0" collapsed="false">
      <c r="A11" s="13" t="s">
        <v>115</v>
      </c>
      <c r="B11" s="13" t="s">
        <v>116</v>
      </c>
      <c r="C11" s="13" t="s">
        <v>117</v>
      </c>
      <c r="D11" s="13" t="s">
        <v>118</v>
      </c>
      <c r="E11" s="13" t="s">
        <v>119</v>
      </c>
      <c r="F11" s="13" t="s">
        <v>96</v>
      </c>
      <c r="G11" s="13" t="s">
        <v>55</v>
      </c>
      <c r="H11" s="23" t="n">
        <v>46308.375</v>
      </c>
      <c r="I11" s="23" t="n">
        <v>46308.4166666667</v>
      </c>
      <c r="J11" s="8" t="n">
        <f aca="false">IF(OR(H11="",I11=""),"",ROUND((I11-H11)*24,1))</f>
        <v>1</v>
      </c>
      <c r="K11" s="7" t="str">
        <f aca="false">IF(J11="","",IF(J11&lt;=Settings!$B$4,"On time","Late"))</f>
        <v>On time</v>
      </c>
      <c r="L11" s="13" t="n">
        <v>82</v>
      </c>
      <c r="M11" s="7" t="str">
        <f aca="false">IF(L11="","",IF(L11&gt;=Settings!$B$2,"Shortlist","Below cut-off"))</f>
        <v>Shortlist</v>
      </c>
      <c r="N11" s="7" t="str">
        <f aca="false">IF(C11="","",IF(COUNTIF($C$5:$C$44,C11)&gt;1,"Duplicate","OK"))</f>
        <v>OK</v>
      </c>
      <c r="O11" s="13"/>
    </row>
    <row r="12" customFormat="false" ht="15" hidden="false" customHeight="false" outlineLevel="0" collapsed="false">
      <c r="A12" s="13" t="s">
        <v>120</v>
      </c>
      <c r="B12" s="13" t="s">
        <v>121</v>
      </c>
      <c r="C12" s="13" t="s">
        <v>122</v>
      </c>
      <c r="D12" s="13" t="s">
        <v>123</v>
      </c>
      <c r="E12" s="13" t="s">
        <v>124</v>
      </c>
      <c r="F12" s="13" t="s">
        <v>104</v>
      </c>
      <c r="G12" s="13" t="s">
        <v>57</v>
      </c>
      <c r="H12" s="23" t="n">
        <v>46308.875</v>
      </c>
      <c r="I12" s="23" t="n">
        <v>46309.125</v>
      </c>
      <c r="J12" s="8" t="n">
        <f aca="false">IF(OR(H12="",I12=""),"",ROUND((I12-H12)*24,1))</f>
        <v>6</v>
      </c>
      <c r="K12" s="7" t="str">
        <f aca="false">IF(J12="","",IF(J12&lt;=Settings!$B$4,"On time","Late"))</f>
        <v>On time</v>
      </c>
      <c r="L12" s="13" t="n">
        <v>90</v>
      </c>
      <c r="M12" s="7" t="str">
        <f aca="false">IF(L12="","",IF(L12&gt;=Settings!$B$2,"Shortlist","Below cut-off"))</f>
        <v>Shortlist</v>
      </c>
      <c r="N12" s="7" t="str">
        <f aca="false">IF(C12="","",IF(COUNTIF($C$5:$C$44,C12)&gt;1,"Duplicate","OK"))</f>
        <v>OK</v>
      </c>
      <c r="O12" s="13"/>
    </row>
    <row r="13" customFormat="false" ht="15" hidden="false" customHeight="false" outlineLevel="0" collapsed="false">
      <c r="A13" s="13" t="s">
        <v>125</v>
      </c>
      <c r="B13" s="13" t="s">
        <v>126</v>
      </c>
      <c r="C13" s="13" t="s">
        <v>127</v>
      </c>
      <c r="D13" s="13" t="s">
        <v>118</v>
      </c>
      <c r="E13" s="13" t="s">
        <v>119</v>
      </c>
      <c r="F13" s="13" t="s">
        <v>100</v>
      </c>
      <c r="G13" s="13" t="s">
        <v>58</v>
      </c>
      <c r="H13" s="23" t="n">
        <v>46309.25</v>
      </c>
      <c r="I13" s="23" t="n">
        <v>46309.75</v>
      </c>
      <c r="J13" s="8" t="n">
        <f aca="false">IF(OR(H13="",I13=""),"",ROUND((I13-H13)*24,1))</f>
        <v>12</v>
      </c>
      <c r="K13" s="7" t="str">
        <f aca="false">IF(J13="","",IF(J13&lt;=Settings!$B$4,"On time","Late"))</f>
        <v>On time</v>
      </c>
      <c r="L13" s="13" t="n">
        <v>85</v>
      </c>
      <c r="M13" s="7" t="str">
        <f aca="false">IF(L13="","",IF(L13&gt;=Settings!$B$2,"Shortlist","Below cut-off"))</f>
        <v>Shortlist</v>
      </c>
      <c r="N13" s="7" t="str">
        <f aca="false">IF(C13="","",IF(COUNTIF($C$5:$C$44,C13)&gt;1,"Duplicate","OK"))</f>
        <v>OK</v>
      </c>
      <c r="O13" s="13"/>
    </row>
    <row r="14" customFormat="false" ht="15" hidden="false" customHeight="false" outlineLevel="0" collapsed="false">
      <c r="A14" s="13" t="s">
        <v>128</v>
      </c>
      <c r="B14" s="13" t="s">
        <v>129</v>
      </c>
      <c r="C14" s="13" t="s">
        <v>130</v>
      </c>
      <c r="D14" s="13" t="s">
        <v>123</v>
      </c>
      <c r="E14" s="13" t="s">
        <v>124</v>
      </c>
      <c r="F14" s="13" t="s">
        <v>81</v>
      </c>
      <c r="G14" s="13" t="s">
        <v>56</v>
      </c>
      <c r="H14" s="23" t="n">
        <v>46309.625</v>
      </c>
      <c r="I14" s="23" t="n">
        <v>46309.7083333333</v>
      </c>
      <c r="J14" s="8" t="n">
        <f aca="false">IF(OR(H14="",I14=""),"",ROUND((I14-H14)*24,1))</f>
        <v>2</v>
      </c>
      <c r="K14" s="7" t="str">
        <f aca="false">IF(J14="","",IF(J14&lt;=Settings!$B$4,"On time","Late"))</f>
        <v>On time</v>
      </c>
      <c r="L14" s="13" t="n">
        <v>74</v>
      </c>
      <c r="M14" s="7" t="str">
        <f aca="false">IF(L14="","",IF(L14&gt;=Settings!$B$2,"Shortlist","Below cut-off"))</f>
        <v>Shortlist</v>
      </c>
      <c r="N14" s="7" t="str">
        <f aca="false">IF(C14="","",IF(COUNTIF($C$5:$C$44,C14)&gt;1,"Duplicate","OK"))</f>
        <v>OK</v>
      </c>
      <c r="O14" s="13"/>
    </row>
    <row r="15" customFormat="false" ht="15" hidden="false" customHeight="false" outlineLevel="0" collapsed="false">
      <c r="A15" s="13" t="s">
        <v>131</v>
      </c>
      <c r="B15" s="13" t="s">
        <v>92</v>
      </c>
      <c r="C15" s="13" t="s">
        <v>93</v>
      </c>
      <c r="D15" s="13" t="s">
        <v>94</v>
      </c>
      <c r="E15" s="13" t="s">
        <v>95</v>
      </c>
      <c r="F15" s="13" t="s">
        <v>100</v>
      </c>
      <c r="G15" s="13" t="s">
        <v>53</v>
      </c>
      <c r="H15" s="23" t="n">
        <v>46312.375</v>
      </c>
      <c r="I15" s="23" t="n">
        <v>46312.5833333333</v>
      </c>
      <c r="J15" s="8" t="n">
        <f aca="false">IF(OR(H15="",I15=""),"",ROUND((I15-H15)*24,1))</f>
        <v>5</v>
      </c>
      <c r="K15" s="7" t="str">
        <f aca="false">IF(J15="","",IF(J15&lt;=Settings!$B$4,"On time","Late"))</f>
        <v>On time</v>
      </c>
      <c r="L15" s="13"/>
      <c r="M15" s="7" t="str">
        <f aca="false">IF(L15="","",IF(L15&gt;=Settings!$B$2,"Shortlist","Below cut-off"))</f>
        <v/>
      </c>
      <c r="N15" s="7" t="str">
        <f aca="false">IF(C15="","",IF(COUNTIF($C$5:$C$44,C15)&gt;1,"Duplicate","OK"))</f>
        <v>Duplicate</v>
      </c>
      <c r="O15" s="13"/>
    </row>
    <row r="16" customFormat="false" ht="15" hidden="false" customHeight="false" outlineLevel="0" collapsed="false">
      <c r="A16" s="13" t="s">
        <v>132</v>
      </c>
      <c r="B16" s="13" t="s">
        <v>107</v>
      </c>
      <c r="C16" s="13" t="s">
        <v>108</v>
      </c>
      <c r="D16" s="13" t="s">
        <v>94</v>
      </c>
      <c r="E16" s="13" t="s">
        <v>95</v>
      </c>
      <c r="F16" s="13" t="s">
        <v>81</v>
      </c>
      <c r="G16" s="13" t="s">
        <v>53</v>
      </c>
      <c r="H16" s="23" t="n">
        <v>46312.875</v>
      </c>
      <c r="I16" s="23" t="n">
        <v>46313</v>
      </c>
      <c r="J16" s="8" t="n">
        <f aca="false">IF(OR(H16="",I16=""),"",ROUND((I16-H16)*24,1))</f>
        <v>3</v>
      </c>
      <c r="K16" s="7" t="str">
        <f aca="false">IF(J16="","",IF(J16&lt;=Settings!$B$4,"On time","Late"))</f>
        <v>On time</v>
      </c>
      <c r="L16" s="13"/>
      <c r="M16" s="7" t="str">
        <f aca="false">IF(L16="","",IF(L16&gt;=Settings!$B$2,"Shortlist","Below cut-off"))</f>
        <v/>
      </c>
      <c r="N16" s="7" t="str">
        <f aca="false">IF(C16="","",IF(COUNTIF($C$5:$C$44,C16)&gt;1,"Duplicate","OK"))</f>
        <v>Duplicate</v>
      </c>
      <c r="O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23"/>
      <c r="I17" s="23"/>
      <c r="J17" s="8" t="str">
        <f aca="false">IF(OR(H17="",I17=""),"",ROUND((I17-H17)*24,1))</f>
        <v/>
      </c>
      <c r="K17" s="7" t="str">
        <f aca="false">IF(J17="","",IF(J17&lt;=Settings!$B$4,"On time","Late"))</f>
        <v/>
      </c>
      <c r="L17" s="13"/>
      <c r="M17" s="7" t="str">
        <f aca="false">IF(L17="","",IF(L17&gt;=Settings!$B$2,"Shortlist","Below cut-off"))</f>
        <v/>
      </c>
      <c r="N17" s="7" t="str">
        <f aca="false">IF(C17="","",IF(COUNTIF($C$5:$C$44,C17)&gt;1,"Duplicate","OK"))</f>
        <v/>
      </c>
      <c r="O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23"/>
      <c r="I18" s="23"/>
      <c r="J18" s="8" t="str">
        <f aca="false">IF(OR(H18="",I18=""),"",ROUND((I18-H18)*24,1))</f>
        <v/>
      </c>
      <c r="K18" s="7" t="str">
        <f aca="false">IF(J18="","",IF(J18&lt;=Settings!$B$4,"On time","Late"))</f>
        <v/>
      </c>
      <c r="L18" s="13"/>
      <c r="M18" s="7" t="str">
        <f aca="false">IF(L18="","",IF(L18&gt;=Settings!$B$2,"Shortlist","Below cut-off"))</f>
        <v/>
      </c>
      <c r="N18" s="7" t="str">
        <f aca="false">IF(C18="","",IF(COUNTIF($C$5:$C$44,C18)&gt;1,"Duplicate","OK"))</f>
        <v/>
      </c>
      <c r="O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23"/>
      <c r="I19" s="23"/>
      <c r="J19" s="8" t="str">
        <f aca="false">IF(OR(H19="",I19=""),"",ROUND((I19-H19)*24,1))</f>
        <v/>
      </c>
      <c r="K19" s="7" t="str">
        <f aca="false">IF(J19="","",IF(J19&lt;=Settings!$B$4,"On time","Late"))</f>
        <v/>
      </c>
      <c r="L19" s="13"/>
      <c r="M19" s="7" t="str">
        <f aca="false">IF(L19="","",IF(L19&gt;=Settings!$B$2,"Shortlist","Below cut-off"))</f>
        <v/>
      </c>
      <c r="N19" s="7" t="str">
        <f aca="false">IF(C19="","",IF(COUNTIF($C$5:$C$44,C19)&gt;1,"Duplicate","OK"))</f>
        <v/>
      </c>
      <c r="O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23"/>
      <c r="I20" s="23"/>
      <c r="J20" s="8" t="str">
        <f aca="false">IF(OR(H20="",I20=""),"",ROUND((I20-H20)*24,1))</f>
        <v/>
      </c>
      <c r="K20" s="7" t="str">
        <f aca="false">IF(J20="","",IF(J20&lt;=Settings!$B$4,"On time","Late"))</f>
        <v/>
      </c>
      <c r="L20" s="13"/>
      <c r="M20" s="7" t="str">
        <f aca="false">IF(L20="","",IF(L20&gt;=Settings!$B$2,"Shortlist","Below cut-off"))</f>
        <v/>
      </c>
      <c r="N20" s="7" t="str">
        <f aca="false">IF(C20="","",IF(COUNTIF($C$5:$C$44,C20)&gt;1,"Duplicate","OK"))</f>
        <v/>
      </c>
      <c r="O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23"/>
      <c r="I21" s="23"/>
      <c r="J21" s="8" t="str">
        <f aca="false">IF(OR(H21="",I21=""),"",ROUND((I21-H21)*24,1))</f>
        <v/>
      </c>
      <c r="K21" s="7" t="str">
        <f aca="false">IF(J21="","",IF(J21&lt;=Settings!$B$4,"On time","Late"))</f>
        <v/>
      </c>
      <c r="L21" s="13"/>
      <c r="M21" s="7" t="str">
        <f aca="false">IF(L21="","",IF(L21&gt;=Settings!$B$2,"Shortlist","Below cut-off"))</f>
        <v/>
      </c>
      <c r="N21" s="7" t="str">
        <f aca="false">IF(C21="","",IF(COUNTIF($C$5:$C$44,C21)&gt;1,"Duplicate","OK"))</f>
        <v/>
      </c>
      <c r="O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23"/>
      <c r="I22" s="23"/>
      <c r="J22" s="8" t="str">
        <f aca="false">IF(OR(H22="",I22=""),"",ROUND((I22-H22)*24,1))</f>
        <v/>
      </c>
      <c r="K22" s="7" t="str">
        <f aca="false">IF(J22="","",IF(J22&lt;=Settings!$B$4,"On time","Late"))</f>
        <v/>
      </c>
      <c r="L22" s="13"/>
      <c r="M22" s="7" t="str">
        <f aca="false">IF(L22="","",IF(L22&gt;=Settings!$B$2,"Shortlist","Below cut-off"))</f>
        <v/>
      </c>
      <c r="N22" s="7" t="str">
        <f aca="false">IF(C22="","",IF(COUNTIF($C$5:$C$44,C22)&gt;1,"Duplicate","OK"))</f>
        <v/>
      </c>
      <c r="O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23"/>
      <c r="I23" s="23"/>
      <c r="J23" s="8" t="str">
        <f aca="false">IF(OR(H23="",I23=""),"",ROUND((I23-H23)*24,1))</f>
        <v/>
      </c>
      <c r="K23" s="7" t="str">
        <f aca="false">IF(J23="","",IF(J23&lt;=Settings!$B$4,"On time","Late"))</f>
        <v/>
      </c>
      <c r="L23" s="13"/>
      <c r="M23" s="7" t="str">
        <f aca="false">IF(L23="","",IF(L23&gt;=Settings!$B$2,"Shortlist","Below cut-off"))</f>
        <v/>
      </c>
      <c r="N23" s="7" t="str">
        <f aca="false">IF(C23="","",IF(COUNTIF($C$5:$C$44,C23)&gt;1,"Duplicate","OK"))</f>
        <v/>
      </c>
      <c r="O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23"/>
      <c r="I24" s="23"/>
      <c r="J24" s="8" t="str">
        <f aca="false">IF(OR(H24="",I24=""),"",ROUND((I24-H24)*24,1))</f>
        <v/>
      </c>
      <c r="K24" s="7" t="str">
        <f aca="false">IF(J24="","",IF(J24&lt;=Settings!$B$4,"On time","Late"))</f>
        <v/>
      </c>
      <c r="L24" s="13"/>
      <c r="M24" s="7" t="str">
        <f aca="false">IF(L24="","",IF(L24&gt;=Settings!$B$2,"Shortlist","Below cut-off"))</f>
        <v/>
      </c>
      <c r="N24" s="7" t="str">
        <f aca="false">IF(C24="","",IF(COUNTIF($C$5:$C$44,C24)&gt;1,"Duplicate","OK"))</f>
        <v/>
      </c>
      <c r="O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23"/>
      <c r="I25" s="23"/>
      <c r="J25" s="8" t="str">
        <f aca="false">IF(OR(H25="",I25=""),"",ROUND((I25-H25)*24,1))</f>
        <v/>
      </c>
      <c r="K25" s="7" t="str">
        <f aca="false">IF(J25="","",IF(J25&lt;=Settings!$B$4,"On time","Late"))</f>
        <v/>
      </c>
      <c r="L25" s="13"/>
      <c r="M25" s="7" t="str">
        <f aca="false">IF(L25="","",IF(L25&gt;=Settings!$B$2,"Shortlist","Below cut-off"))</f>
        <v/>
      </c>
      <c r="N25" s="7" t="str">
        <f aca="false">IF(C25="","",IF(COUNTIF($C$5:$C$44,C25)&gt;1,"Duplicate","OK"))</f>
        <v/>
      </c>
      <c r="O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23"/>
      <c r="I26" s="23"/>
      <c r="J26" s="8" t="str">
        <f aca="false">IF(OR(H26="",I26=""),"",ROUND((I26-H26)*24,1))</f>
        <v/>
      </c>
      <c r="K26" s="7" t="str">
        <f aca="false">IF(J26="","",IF(J26&lt;=Settings!$B$4,"On time","Late"))</f>
        <v/>
      </c>
      <c r="L26" s="13"/>
      <c r="M26" s="7" t="str">
        <f aca="false">IF(L26="","",IF(L26&gt;=Settings!$B$2,"Shortlist","Below cut-off"))</f>
        <v/>
      </c>
      <c r="N26" s="7" t="str">
        <f aca="false">IF(C26="","",IF(COUNTIF($C$5:$C$44,C26)&gt;1,"Duplicate","OK"))</f>
        <v/>
      </c>
      <c r="O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23"/>
      <c r="I27" s="23"/>
      <c r="J27" s="8" t="str">
        <f aca="false">IF(OR(H27="",I27=""),"",ROUND((I27-H27)*24,1))</f>
        <v/>
      </c>
      <c r="K27" s="7" t="str">
        <f aca="false">IF(J27="","",IF(J27&lt;=Settings!$B$4,"On time","Late"))</f>
        <v/>
      </c>
      <c r="L27" s="13"/>
      <c r="M27" s="7" t="str">
        <f aca="false">IF(L27="","",IF(L27&gt;=Settings!$B$2,"Shortlist","Below cut-off"))</f>
        <v/>
      </c>
      <c r="N27" s="7" t="str">
        <f aca="false">IF(C27="","",IF(COUNTIF($C$5:$C$44,C27)&gt;1,"Duplicate","OK"))</f>
        <v/>
      </c>
      <c r="O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23"/>
      <c r="I28" s="23"/>
      <c r="J28" s="8" t="str">
        <f aca="false">IF(OR(H28="",I28=""),"",ROUND((I28-H28)*24,1))</f>
        <v/>
      </c>
      <c r="K28" s="7" t="str">
        <f aca="false">IF(J28="","",IF(J28&lt;=Settings!$B$4,"On time","Late"))</f>
        <v/>
      </c>
      <c r="L28" s="13"/>
      <c r="M28" s="7" t="str">
        <f aca="false">IF(L28="","",IF(L28&gt;=Settings!$B$2,"Shortlist","Below cut-off"))</f>
        <v/>
      </c>
      <c r="N28" s="7" t="str">
        <f aca="false">IF(C28="","",IF(COUNTIF($C$5:$C$44,C28)&gt;1,"Duplicate","OK"))</f>
        <v/>
      </c>
      <c r="O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23"/>
      <c r="I29" s="23"/>
      <c r="J29" s="8" t="str">
        <f aca="false">IF(OR(H29="",I29=""),"",ROUND((I29-H29)*24,1))</f>
        <v/>
      </c>
      <c r="K29" s="7" t="str">
        <f aca="false">IF(J29="","",IF(J29&lt;=Settings!$B$4,"On time","Late"))</f>
        <v/>
      </c>
      <c r="L29" s="13"/>
      <c r="M29" s="7" t="str">
        <f aca="false">IF(L29="","",IF(L29&gt;=Settings!$B$2,"Shortlist","Below cut-off"))</f>
        <v/>
      </c>
      <c r="N29" s="7" t="str">
        <f aca="false">IF(C29="","",IF(COUNTIF($C$5:$C$44,C29)&gt;1,"Duplicate","OK"))</f>
        <v/>
      </c>
      <c r="O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23"/>
      <c r="I30" s="23"/>
      <c r="J30" s="8" t="str">
        <f aca="false">IF(OR(H30="",I30=""),"",ROUND((I30-H30)*24,1))</f>
        <v/>
      </c>
      <c r="K30" s="7" t="str">
        <f aca="false">IF(J30="","",IF(J30&lt;=Settings!$B$4,"On time","Late"))</f>
        <v/>
      </c>
      <c r="L30" s="13"/>
      <c r="M30" s="7" t="str">
        <f aca="false">IF(L30="","",IF(L30&gt;=Settings!$B$2,"Shortlist","Below cut-off"))</f>
        <v/>
      </c>
      <c r="N30" s="7" t="str">
        <f aca="false">IF(C30="","",IF(COUNTIF($C$5:$C$44,C30)&gt;1,"Duplicate","OK"))</f>
        <v/>
      </c>
      <c r="O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23"/>
      <c r="I31" s="23"/>
      <c r="J31" s="8" t="str">
        <f aca="false">IF(OR(H31="",I31=""),"",ROUND((I31-H31)*24,1))</f>
        <v/>
      </c>
      <c r="K31" s="7" t="str">
        <f aca="false">IF(J31="","",IF(J31&lt;=Settings!$B$4,"On time","Late"))</f>
        <v/>
      </c>
      <c r="L31" s="13"/>
      <c r="M31" s="7" t="str">
        <f aca="false">IF(L31="","",IF(L31&gt;=Settings!$B$2,"Shortlist","Below cut-off"))</f>
        <v/>
      </c>
      <c r="N31" s="7" t="str">
        <f aca="false">IF(C31="","",IF(COUNTIF($C$5:$C$44,C31)&gt;1,"Duplicate","OK"))</f>
        <v/>
      </c>
      <c r="O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23"/>
      <c r="I32" s="23"/>
      <c r="J32" s="8" t="str">
        <f aca="false">IF(OR(H32="",I32=""),"",ROUND((I32-H32)*24,1))</f>
        <v/>
      </c>
      <c r="K32" s="7" t="str">
        <f aca="false">IF(J32="","",IF(J32&lt;=Settings!$B$4,"On time","Late"))</f>
        <v/>
      </c>
      <c r="L32" s="13"/>
      <c r="M32" s="7" t="str">
        <f aca="false">IF(L32="","",IF(L32&gt;=Settings!$B$2,"Shortlist","Below cut-off"))</f>
        <v/>
      </c>
      <c r="N32" s="7" t="str">
        <f aca="false">IF(C32="","",IF(COUNTIF($C$5:$C$44,C32)&gt;1,"Duplicate","OK"))</f>
        <v/>
      </c>
      <c r="O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23"/>
      <c r="I33" s="23"/>
      <c r="J33" s="8" t="str">
        <f aca="false">IF(OR(H33="",I33=""),"",ROUND((I33-H33)*24,1))</f>
        <v/>
      </c>
      <c r="K33" s="7" t="str">
        <f aca="false">IF(J33="","",IF(J33&lt;=Settings!$B$4,"On time","Late"))</f>
        <v/>
      </c>
      <c r="L33" s="13"/>
      <c r="M33" s="7" t="str">
        <f aca="false">IF(L33="","",IF(L33&gt;=Settings!$B$2,"Shortlist","Below cut-off"))</f>
        <v/>
      </c>
      <c r="N33" s="7" t="str">
        <f aca="false">IF(C33="","",IF(COUNTIF($C$5:$C$44,C33)&gt;1,"Duplicate","OK"))</f>
        <v/>
      </c>
      <c r="O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23"/>
      <c r="I34" s="23"/>
      <c r="J34" s="8" t="str">
        <f aca="false">IF(OR(H34="",I34=""),"",ROUND((I34-H34)*24,1))</f>
        <v/>
      </c>
      <c r="K34" s="7" t="str">
        <f aca="false">IF(J34="","",IF(J34&lt;=Settings!$B$4,"On time","Late"))</f>
        <v/>
      </c>
      <c r="L34" s="13"/>
      <c r="M34" s="7" t="str">
        <f aca="false">IF(L34="","",IF(L34&gt;=Settings!$B$2,"Shortlist","Below cut-off"))</f>
        <v/>
      </c>
      <c r="N34" s="7" t="str">
        <f aca="false">IF(C34="","",IF(COUNTIF($C$5:$C$44,C34)&gt;1,"Duplicate","OK"))</f>
        <v/>
      </c>
      <c r="O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23"/>
      <c r="I35" s="23"/>
      <c r="J35" s="8" t="str">
        <f aca="false">IF(OR(H35="",I35=""),"",ROUND((I35-H35)*24,1))</f>
        <v/>
      </c>
      <c r="K35" s="7" t="str">
        <f aca="false">IF(J35="","",IF(J35&lt;=Settings!$B$4,"On time","Late"))</f>
        <v/>
      </c>
      <c r="L35" s="13"/>
      <c r="M35" s="7" t="str">
        <f aca="false">IF(L35="","",IF(L35&gt;=Settings!$B$2,"Shortlist","Below cut-off"))</f>
        <v/>
      </c>
      <c r="N35" s="7" t="str">
        <f aca="false">IF(C35="","",IF(COUNTIF($C$5:$C$44,C35)&gt;1,"Duplicate","OK"))</f>
        <v/>
      </c>
      <c r="O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23"/>
      <c r="I36" s="23"/>
      <c r="J36" s="8" t="str">
        <f aca="false">IF(OR(H36="",I36=""),"",ROUND((I36-H36)*24,1))</f>
        <v/>
      </c>
      <c r="K36" s="7" t="str">
        <f aca="false">IF(J36="","",IF(J36&lt;=Settings!$B$4,"On time","Late"))</f>
        <v/>
      </c>
      <c r="L36" s="13"/>
      <c r="M36" s="7" t="str">
        <f aca="false">IF(L36="","",IF(L36&gt;=Settings!$B$2,"Shortlist","Below cut-off"))</f>
        <v/>
      </c>
      <c r="N36" s="7" t="str">
        <f aca="false">IF(C36="","",IF(COUNTIF($C$5:$C$44,C36)&gt;1,"Duplicate","OK"))</f>
        <v/>
      </c>
      <c r="O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23"/>
      <c r="I37" s="23"/>
      <c r="J37" s="8" t="str">
        <f aca="false">IF(OR(H37="",I37=""),"",ROUND((I37-H37)*24,1))</f>
        <v/>
      </c>
      <c r="K37" s="7" t="str">
        <f aca="false">IF(J37="","",IF(J37&lt;=Settings!$B$4,"On time","Late"))</f>
        <v/>
      </c>
      <c r="L37" s="13"/>
      <c r="M37" s="7" t="str">
        <f aca="false">IF(L37="","",IF(L37&gt;=Settings!$B$2,"Shortlist","Below cut-off"))</f>
        <v/>
      </c>
      <c r="N37" s="7" t="str">
        <f aca="false">IF(C37="","",IF(COUNTIF($C$5:$C$44,C37)&gt;1,"Duplicate","OK"))</f>
        <v/>
      </c>
      <c r="O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23"/>
      <c r="I38" s="23"/>
      <c r="J38" s="8" t="str">
        <f aca="false">IF(OR(H38="",I38=""),"",ROUND((I38-H38)*24,1))</f>
        <v/>
      </c>
      <c r="K38" s="7" t="str">
        <f aca="false">IF(J38="","",IF(J38&lt;=Settings!$B$4,"On time","Late"))</f>
        <v/>
      </c>
      <c r="L38" s="13"/>
      <c r="M38" s="7" t="str">
        <f aca="false">IF(L38="","",IF(L38&gt;=Settings!$B$2,"Shortlist","Below cut-off"))</f>
        <v/>
      </c>
      <c r="N38" s="7" t="str">
        <f aca="false">IF(C38="","",IF(COUNTIF($C$5:$C$44,C38)&gt;1,"Duplicate","OK"))</f>
        <v/>
      </c>
      <c r="O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23"/>
      <c r="I39" s="23"/>
      <c r="J39" s="8" t="str">
        <f aca="false">IF(OR(H39="",I39=""),"",ROUND((I39-H39)*24,1))</f>
        <v/>
      </c>
      <c r="K39" s="7" t="str">
        <f aca="false">IF(J39="","",IF(J39&lt;=Settings!$B$4,"On time","Late"))</f>
        <v/>
      </c>
      <c r="L39" s="13"/>
      <c r="M39" s="7" t="str">
        <f aca="false">IF(L39="","",IF(L39&gt;=Settings!$B$2,"Shortlist","Below cut-off"))</f>
        <v/>
      </c>
      <c r="N39" s="7" t="str">
        <f aca="false">IF(C39="","",IF(COUNTIF($C$5:$C$44,C39)&gt;1,"Duplicate","OK"))</f>
        <v/>
      </c>
      <c r="O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23"/>
      <c r="I40" s="23"/>
      <c r="J40" s="8" t="str">
        <f aca="false">IF(OR(H40="",I40=""),"",ROUND((I40-H40)*24,1))</f>
        <v/>
      </c>
      <c r="K40" s="7" t="str">
        <f aca="false">IF(J40="","",IF(J40&lt;=Settings!$B$4,"On time","Late"))</f>
        <v/>
      </c>
      <c r="L40" s="13"/>
      <c r="M40" s="7" t="str">
        <f aca="false">IF(L40="","",IF(L40&gt;=Settings!$B$2,"Shortlist","Below cut-off"))</f>
        <v/>
      </c>
      <c r="N40" s="7" t="str">
        <f aca="false">IF(C40="","",IF(COUNTIF($C$5:$C$44,C40)&gt;1,"Duplicate","OK"))</f>
        <v/>
      </c>
      <c r="O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23"/>
      <c r="I41" s="23"/>
      <c r="J41" s="8" t="str">
        <f aca="false">IF(OR(H41="",I41=""),"",ROUND((I41-H41)*24,1))</f>
        <v/>
      </c>
      <c r="K41" s="7" t="str">
        <f aca="false">IF(J41="","",IF(J41&lt;=Settings!$B$4,"On time","Late"))</f>
        <v/>
      </c>
      <c r="L41" s="13"/>
      <c r="M41" s="7" t="str">
        <f aca="false">IF(L41="","",IF(L41&gt;=Settings!$B$2,"Shortlist","Below cut-off"))</f>
        <v/>
      </c>
      <c r="N41" s="7" t="str">
        <f aca="false">IF(C41="","",IF(COUNTIF($C$5:$C$44,C41)&gt;1,"Duplicate","OK"))</f>
        <v/>
      </c>
      <c r="O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23"/>
      <c r="I42" s="23"/>
      <c r="J42" s="8" t="str">
        <f aca="false">IF(OR(H42="",I42=""),"",ROUND((I42-H42)*24,1))</f>
        <v/>
      </c>
      <c r="K42" s="7" t="str">
        <f aca="false">IF(J42="","",IF(J42&lt;=Settings!$B$4,"On time","Late"))</f>
        <v/>
      </c>
      <c r="L42" s="13"/>
      <c r="M42" s="7" t="str">
        <f aca="false">IF(L42="","",IF(L42&gt;=Settings!$B$2,"Shortlist","Below cut-off"))</f>
        <v/>
      </c>
      <c r="N42" s="7" t="str">
        <f aca="false">IF(C42="","",IF(COUNTIF($C$5:$C$44,C42)&gt;1,"Duplicate","OK"))</f>
        <v/>
      </c>
      <c r="O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23"/>
      <c r="I43" s="23"/>
      <c r="J43" s="8" t="str">
        <f aca="false">IF(OR(H43="",I43=""),"",ROUND((I43-H43)*24,1))</f>
        <v/>
      </c>
      <c r="K43" s="7" t="str">
        <f aca="false">IF(J43="","",IF(J43&lt;=Settings!$B$4,"On time","Late"))</f>
        <v/>
      </c>
      <c r="L43" s="13"/>
      <c r="M43" s="7" t="str">
        <f aca="false">IF(L43="","",IF(L43&gt;=Settings!$B$2,"Shortlist","Below cut-off"))</f>
        <v/>
      </c>
      <c r="N43" s="7" t="str">
        <f aca="false">IF(C43="","",IF(COUNTIF($C$5:$C$44,C43)&gt;1,"Duplicate","OK"))</f>
        <v/>
      </c>
      <c r="O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23"/>
      <c r="I44" s="23"/>
      <c r="J44" s="8" t="str">
        <f aca="false">IF(OR(H44="",I44=""),"",ROUND((I44-H44)*24,1))</f>
        <v/>
      </c>
      <c r="K44" s="7" t="str">
        <f aca="false">IF(J44="","",IF(J44&lt;=Settings!$B$4,"On time","Late"))</f>
        <v/>
      </c>
      <c r="L44" s="13"/>
      <c r="M44" s="7" t="str">
        <f aca="false">IF(L44="","",IF(L44&gt;=Settings!$B$2,"Shortlist","Below cut-off"))</f>
        <v/>
      </c>
      <c r="N44" s="7" t="str">
        <f aca="false">IF(C44="","",IF(COUNTIF($C$5:$C$44,C44)&gt;1,"Duplicate","OK"))</f>
        <v/>
      </c>
      <c r="O44" s="13"/>
    </row>
  </sheetData>
  <conditionalFormatting sqref="K5:K44">
    <cfRule type="cellIs" priority="2" operator="equal" aboveAverage="0" equalAverage="0" bottom="0" percent="0" rank="0" text="" dxfId="0">
      <formula>"On time"</formula>
    </cfRule>
    <cfRule type="cellIs" priority="3" operator="equal" aboveAverage="0" equalAverage="0" bottom="0" percent="0" rank="0" text="" dxfId="1">
      <formula>"Late"</formula>
    </cfRule>
  </conditionalFormatting>
  <conditionalFormatting sqref="N5:N44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"Duplicate"</formula>
    </cfRule>
  </conditionalFormatting>
  <conditionalFormatting sqref="M5:M44">
    <cfRule type="cellIs" priority="6" operator="equal" aboveAverage="0" equalAverage="0" bottom="0" percent="0" rank="0" text="" dxfId="0">
      <formula>"Shortlist"</formula>
    </cfRule>
    <cfRule type="cellIs" priority="7" operator="equal" aboveAverage="0" equalAverage="0" bottom="0" percent="0" rank="0" text="" dxfId="1">
      <formula>"Below cut-off"</formula>
    </cfRule>
  </conditionalFormatting>
  <dataValidations count="2">
    <dataValidation allowBlank="true" errorStyle="stop" operator="between" showDropDown="false" showErrorMessage="false" showInputMessage="false" sqref="G5:G44" type="list">
      <formula1>"Applied,Screening,Interview,Decision,Offer,Hired,Rejected"</formula1>
      <formula2>0</formula2>
    </dataValidation>
    <dataValidation allowBlank="false" errorStyle="stop" operator="between" showDropDown="false" showErrorMessage="false" showInputMessage="false" sqref="F5:F44" type="list">
      <formula1>"LinkedIn,Job board,Referral,Email,Walk-in"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7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4" min="13" style="0" width="10"/>
    <col collapsed="false" customWidth="true" hidden="false" outlineLevel="0" max="15" min="15" style="0" width="11"/>
    <col collapsed="false" customWidth="true" hidden="false" outlineLevel="0" max="16" min="16" style="0" width="19"/>
    <col collapsed="false" customWidth="true" hidden="false" outlineLevel="0" max="18" min="17" style="0" width="12"/>
  </cols>
  <sheetData>
    <row r="1" customFormat="false" ht="17.35" hidden="false" customHeight="false" outlineLevel="0" collapsed="false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5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1.5" hidden="false" customHeight="true" outlineLevel="0" collapsed="false">
      <c r="A4" s="6" t="s">
        <v>135</v>
      </c>
      <c r="B4" s="6" t="s">
        <v>79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70</v>
      </c>
      <c r="H4" s="6" t="s">
        <v>71</v>
      </c>
      <c r="I4" s="6" t="s">
        <v>72</v>
      </c>
      <c r="J4" s="6" t="s">
        <v>73</v>
      </c>
      <c r="K4" s="6" t="s">
        <v>74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</row>
    <row r="5" customFormat="false" ht="15" hidden="false" customHeight="false" outlineLevel="0" collapsed="false">
      <c r="A5" s="13" t="s">
        <v>147</v>
      </c>
      <c r="B5" s="13" t="s">
        <v>115</v>
      </c>
      <c r="C5" s="7" t="str">
        <f aca="false">IF(B5="","",IFERROR(INDEX(Candidates!$B$5:$B$44,MATCH(B5,Candidates!$A$5:$A$44,0)),"Not found"))</f>
        <v>Saad Mirza</v>
      </c>
      <c r="D5" s="13" t="s">
        <v>148</v>
      </c>
      <c r="E5" s="23" t="n">
        <v>46315.4166666667</v>
      </c>
      <c r="F5" s="23" t="n">
        <v>46315.5833333333</v>
      </c>
      <c r="G5" s="13" t="n">
        <v>4</v>
      </c>
      <c r="H5" s="13" t="n">
        <v>4</v>
      </c>
      <c r="I5" s="13" t="n">
        <v>5</v>
      </c>
      <c r="J5" s="13" t="n">
        <v>4</v>
      </c>
      <c r="K5" s="13" t="n">
        <v>4</v>
      </c>
      <c r="L5" s="13" t="s">
        <v>149</v>
      </c>
      <c r="M5" s="24" t="n">
        <f aca="false">IF(COUNT(G5:K5)=0,"",SUMPRODUCT(G5:K5,Settings!$B$12:$F$12)/SUMPRODUCT((G5:K5&lt;&gt;"")*Settings!$B$12:$F$12))</f>
        <v>4.2</v>
      </c>
      <c r="N5" s="8" t="n">
        <f aca="false">IF(OR(E5="",F5=""),"",ROUND((F5-E5)*24,1))</f>
        <v>4</v>
      </c>
      <c r="O5" s="7" t="str">
        <f aca="false">IF(N5="","",IF(N5&lt;=Settings!$B$3,"On time","Late"))</f>
        <v>On time</v>
      </c>
      <c r="P5" s="7" t="str">
        <f aca="false">IF(M5="","",IF(M5&gt;=Settings!$B$6,"Strong hire",IF(M5&gt;=Settings!$B$7,"Discuss at debrief","Do not proceed")))</f>
        <v>Strong hire</v>
      </c>
      <c r="Q5" s="24" t="n">
        <f aca="false">IF(M5="","",_xlfn.MAXIFS($M$5:$M$40,$B$5:$B$40,B5)-_xlfn.MINIFS($M$5:$M$40,$B$5:$B$40,B5))</f>
        <v>0.0499999999999998</v>
      </c>
      <c r="R5" s="7" t="str">
        <f aca="false">IF(Q5="","",IF(Q5&gt;Settings!$B$5,"Debrief gap","OK"))</f>
        <v>OK</v>
      </c>
    </row>
    <row r="6" customFormat="false" ht="15" hidden="false" customHeight="false" outlineLevel="0" collapsed="false">
      <c r="A6" s="13" t="s">
        <v>150</v>
      </c>
      <c r="B6" s="13" t="s">
        <v>115</v>
      </c>
      <c r="C6" s="7" t="str">
        <f aca="false">IF(B6="","",IFERROR(INDEX(Candidates!$B$5:$B$44,MATCH(B6,Candidates!$A$5:$A$44,0)),"Not found"))</f>
        <v>Saad Mirza</v>
      </c>
      <c r="D6" s="13" t="s">
        <v>151</v>
      </c>
      <c r="E6" s="23" t="n">
        <v>46315.625</v>
      </c>
      <c r="F6" s="23" t="n">
        <v>46316.375</v>
      </c>
      <c r="G6" s="13" t="n">
        <v>4</v>
      </c>
      <c r="H6" s="13" t="n">
        <v>4</v>
      </c>
      <c r="I6" s="13" t="n">
        <v>4</v>
      </c>
      <c r="J6" s="13" t="n">
        <v>5</v>
      </c>
      <c r="K6" s="13" t="n">
        <v>4</v>
      </c>
      <c r="L6" s="13" t="s">
        <v>149</v>
      </c>
      <c r="M6" s="24" t="n">
        <f aca="false">IF(COUNT(G6:K6)=0,"",SUMPRODUCT(G6:K6,Settings!$B$12:$F$12)/SUMPRODUCT((G6:K6&lt;&gt;"")*Settings!$B$12:$F$12))</f>
        <v>4.15</v>
      </c>
      <c r="N6" s="8" t="n">
        <f aca="false">IF(OR(E6="",F6=""),"",ROUND((F6-E6)*24,1))</f>
        <v>18</v>
      </c>
      <c r="O6" s="7" t="str">
        <f aca="false">IF(N6="","",IF(N6&lt;=Settings!$B$3,"On time","Late"))</f>
        <v>On time</v>
      </c>
      <c r="P6" s="7" t="str">
        <f aca="false">IF(M6="","",IF(M6&gt;=Settings!$B$6,"Strong hire",IF(M6&gt;=Settings!$B$7,"Discuss at debrief","Do not proceed")))</f>
        <v>Strong hire</v>
      </c>
      <c r="Q6" s="24" t="n">
        <f aca="false">IF(M6="","",_xlfn.MAXIFS($M$5:$M$40,$B$5:$B$40,B6)-_xlfn.MINIFS($M$5:$M$40,$B$5:$B$40,B6))</f>
        <v>0.0499999999999998</v>
      </c>
      <c r="R6" s="7" t="str">
        <f aca="false">IF(Q6="","",IF(Q6&gt;Settings!$B$5,"Debrief gap","OK"))</f>
        <v>OK</v>
      </c>
    </row>
    <row r="7" customFormat="false" ht="15" hidden="false" customHeight="false" outlineLevel="0" collapsed="false">
      <c r="A7" s="13" t="s">
        <v>152</v>
      </c>
      <c r="B7" s="13" t="s">
        <v>125</v>
      </c>
      <c r="C7" s="7" t="str">
        <f aca="false">IF(B7="","",IFERROR(INDEX(Candidates!$B$5:$B$44,MATCH(B7,Candidates!$A$5:$A$44,0)),"Not found"))</f>
        <v>Iqra Javed</v>
      </c>
      <c r="D7" s="13" t="s">
        <v>153</v>
      </c>
      <c r="E7" s="23" t="n">
        <v>46315.8333333333</v>
      </c>
      <c r="F7" s="23" t="n">
        <v>46316.75</v>
      </c>
      <c r="G7" s="13" t="n">
        <v>5</v>
      </c>
      <c r="H7" s="13" t="n">
        <v>4</v>
      </c>
      <c r="I7" s="13" t="n">
        <v>4</v>
      </c>
      <c r="J7" s="13" t="n">
        <v>4</v>
      </c>
      <c r="K7" s="13" t="n">
        <v>5</v>
      </c>
      <c r="L7" s="13" t="s">
        <v>149</v>
      </c>
      <c r="M7" s="24" t="n">
        <f aca="false">IF(COUNT(G7:K7)=0,"",SUMPRODUCT(G7:K7,Settings!$B$12:$F$12)/SUMPRODUCT((G7:K7&lt;&gt;"")*Settings!$B$12:$F$12))</f>
        <v>4.45</v>
      </c>
      <c r="N7" s="8" t="n">
        <f aca="false">IF(OR(E7="",F7=""),"",ROUND((F7-E7)*24,1))</f>
        <v>22</v>
      </c>
      <c r="O7" s="7" t="str">
        <f aca="false">IF(N7="","",IF(N7&lt;=Settings!$B$3,"On time","Late"))</f>
        <v>On time</v>
      </c>
      <c r="P7" s="7" t="str">
        <f aca="false">IF(M7="","",IF(M7&gt;=Settings!$B$6,"Strong hire",IF(M7&gt;=Settings!$B$7,"Discuss at debrief","Do not proceed")))</f>
        <v>Strong hire</v>
      </c>
      <c r="Q7" s="24" t="n">
        <f aca="false">IF(M7="","",_xlfn.MAXIFS($M$5:$M$40,$B$5:$B$40,B7)-_xlfn.MINIFS($M$5:$M$40,$B$5:$B$40,B7))</f>
        <v>0.25</v>
      </c>
      <c r="R7" s="7" t="str">
        <f aca="false">IF(Q7="","",IF(Q7&gt;Settings!$B$5,"Debrief gap","OK"))</f>
        <v>OK</v>
      </c>
    </row>
    <row r="8" customFormat="false" ht="15" hidden="false" customHeight="false" outlineLevel="0" collapsed="false">
      <c r="A8" s="13" t="s">
        <v>154</v>
      </c>
      <c r="B8" s="13" t="s">
        <v>125</v>
      </c>
      <c r="C8" s="7" t="str">
        <f aca="false">IF(B8="","",IFERROR(INDEX(Candidates!$B$5:$B$44,MATCH(B8,Candidates!$A$5:$A$44,0)),"Not found"))</f>
        <v>Iqra Javed</v>
      </c>
      <c r="D8" s="13" t="s">
        <v>155</v>
      </c>
      <c r="E8" s="23" t="n">
        <v>46316.0416666667</v>
      </c>
      <c r="F8" s="23" t="n">
        <v>46316.2916666667</v>
      </c>
      <c r="G8" s="13" t="n">
        <v>4</v>
      </c>
      <c r="H8" s="13" t="n">
        <v>5</v>
      </c>
      <c r="I8" s="13" t="n">
        <v>4</v>
      </c>
      <c r="J8" s="13" t="n">
        <v>4</v>
      </c>
      <c r="K8" s="13" t="n">
        <v>4</v>
      </c>
      <c r="L8" s="13" t="s">
        <v>149</v>
      </c>
      <c r="M8" s="24" t="n">
        <f aca="false">IF(COUNT(G8:K8)=0,"",SUMPRODUCT(G8:K8,Settings!$B$12:$F$12)/SUMPRODUCT((G8:K8&lt;&gt;"")*Settings!$B$12:$F$12))</f>
        <v>4.2</v>
      </c>
      <c r="N8" s="8" t="n">
        <f aca="false">IF(OR(E8="",F8=""),"",ROUND((F8-E8)*24,1))</f>
        <v>6</v>
      </c>
      <c r="O8" s="7" t="str">
        <f aca="false">IF(N8="","",IF(N8&lt;=Settings!$B$3,"On time","Late"))</f>
        <v>On time</v>
      </c>
      <c r="P8" s="7" t="str">
        <f aca="false">IF(M8="","",IF(M8&gt;=Settings!$B$6,"Strong hire",IF(M8&gt;=Settings!$B$7,"Discuss at debrief","Do not proceed")))</f>
        <v>Strong hire</v>
      </c>
      <c r="Q8" s="24" t="n">
        <f aca="false">IF(M8="","",_xlfn.MAXIFS($M$5:$M$40,$B$5:$B$40,B8)-_xlfn.MINIFS($M$5:$M$40,$B$5:$B$40,B8))</f>
        <v>0.25</v>
      </c>
      <c r="R8" s="7" t="str">
        <f aca="false">IF(Q8="","",IF(Q8&gt;Settings!$B$5,"Debrief gap","OK"))</f>
        <v>OK</v>
      </c>
    </row>
    <row r="9" customFormat="false" ht="15" hidden="false" customHeight="false" outlineLevel="0" collapsed="false">
      <c r="A9" s="13" t="s">
        <v>156</v>
      </c>
      <c r="B9" s="13" t="s">
        <v>91</v>
      </c>
      <c r="C9" s="7" t="str">
        <f aca="false">IF(B9="","",IFERROR(INDEX(Candidates!$B$5:$B$44,MATCH(B9,Candidates!$A$5:$A$44,0)),"Not found"))</f>
        <v>Hamza Raza</v>
      </c>
      <c r="D9" s="13" t="s">
        <v>148</v>
      </c>
      <c r="E9" s="23" t="n">
        <v>46316.25</v>
      </c>
      <c r="F9" s="23" t="n">
        <v>46317.4583333333</v>
      </c>
      <c r="G9" s="13" t="n">
        <v>3</v>
      </c>
      <c r="H9" s="13" t="n">
        <v>3</v>
      </c>
      <c r="I9" s="13" t="n">
        <v>4</v>
      </c>
      <c r="J9" s="13" t="n">
        <v>4</v>
      </c>
      <c r="K9" s="13" t="n">
        <v>3</v>
      </c>
      <c r="L9" s="13" t="s">
        <v>157</v>
      </c>
      <c r="M9" s="24" t="n">
        <f aca="false">IF(COUNT(G9:K9)=0,"",SUMPRODUCT(G9:K9,Settings!$B$12:$F$12)/SUMPRODUCT((G9:K9&lt;&gt;"")*Settings!$B$12:$F$12))</f>
        <v>3.35</v>
      </c>
      <c r="N9" s="8" t="n">
        <f aca="false">IF(OR(E9="",F9=""),"",ROUND((F9-E9)*24,1))</f>
        <v>29</v>
      </c>
      <c r="O9" s="7" t="str">
        <f aca="false">IF(N9="","",IF(N9&lt;=Settings!$B$3,"On time","Late"))</f>
        <v>Late</v>
      </c>
      <c r="P9" s="7" t="str">
        <f aca="false">IF(M9="","",IF(M9&gt;=Settings!$B$6,"Strong hire",IF(M9&gt;=Settings!$B$7,"Discuss at debrief","Do not proceed")))</f>
        <v>Discuss at debrief</v>
      </c>
      <c r="Q9" s="24" t="n">
        <f aca="false">IF(M9="","",_xlfn.MAXIFS($M$5:$M$40,$B$5:$B$40,B9)-_xlfn.MINIFS($M$5:$M$40,$B$5:$B$40,B9))</f>
        <v>0.25</v>
      </c>
      <c r="R9" s="7" t="str">
        <f aca="false">IF(Q9="","",IF(Q9&gt;Settings!$B$5,"Debrief gap","OK"))</f>
        <v>OK</v>
      </c>
    </row>
    <row r="10" customFormat="false" ht="15" hidden="false" customHeight="false" outlineLevel="0" collapsed="false">
      <c r="A10" s="13" t="s">
        <v>158</v>
      </c>
      <c r="B10" s="13" t="s">
        <v>91</v>
      </c>
      <c r="C10" s="7" t="str">
        <f aca="false">IF(B10="","",IFERROR(INDEX(Candidates!$B$5:$B$44,MATCH(B10,Candidates!$A$5:$A$44,0)),"Not found"))</f>
        <v>Hamza Raza</v>
      </c>
      <c r="D10" s="13" t="s">
        <v>151</v>
      </c>
      <c r="E10" s="23" t="n">
        <v>46316.4583333333</v>
      </c>
      <c r="F10" s="23" t="n">
        <v>46317.2916666667</v>
      </c>
      <c r="G10" s="13" t="n">
        <v>4</v>
      </c>
      <c r="H10" s="13" t="n">
        <v>3</v>
      </c>
      <c r="I10" s="13" t="n">
        <v>3</v>
      </c>
      <c r="J10" s="13" t="n">
        <v>4</v>
      </c>
      <c r="K10" s="13" t="n">
        <v>4</v>
      </c>
      <c r="L10" s="13" t="s">
        <v>149</v>
      </c>
      <c r="M10" s="24" t="n">
        <f aca="false">IF(COUNT(G10:K10)=0,"",SUMPRODUCT(G10:K10,Settings!$B$12:$F$12)/SUMPRODUCT((G10:K10&lt;&gt;"")*Settings!$B$12:$F$12))</f>
        <v>3.6</v>
      </c>
      <c r="N10" s="8" t="n">
        <f aca="false">IF(OR(E10="",F10=""),"",ROUND((F10-E10)*24,1))</f>
        <v>20</v>
      </c>
      <c r="O10" s="7" t="str">
        <f aca="false">IF(N10="","",IF(N10&lt;=Settings!$B$3,"On time","Late"))</f>
        <v>On time</v>
      </c>
      <c r="P10" s="7" t="str">
        <f aca="false">IF(M10="","",IF(M10&gt;=Settings!$B$6,"Strong hire",IF(M10&gt;=Settings!$B$7,"Discuss at debrief","Do not proceed")))</f>
        <v>Discuss at debrief</v>
      </c>
      <c r="Q10" s="24" t="n">
        <f aca="false">IF(M10="","",_xlfn.MAXIFS($M$5:$M$40,$B$5:$B$40,B10)-_xlfn.MINIFS($M$5:$M$40,$B$5:$B$40,B10))</f>
        <v>0.25</v>
      </c>
      <c r="R10" s="7" t="str">
        <f aca="false">IF(Q10="","",IF(Q10&gt;Settings!$B$5,"Debrief gap","OK"))</f>
        <v>OK</v>
      </c>
    </row>
    <row r="11" customFormat="false" ht="15" hidden="false" customHeight="false" outlineLevel="0" collapsed="false">
      <c r="A11" s="13" t="s">
        <v>159</v>
      </c>
      <c r="B11" s="13" t="s">
        <v>128</v>
      </c>
      <c r="C11" s="7" t="str">
        <f aca="false">IF(B11="","",IFERROR(INDEX(Candidates!$B$5:$B$44,MATCH(B11,Candidates!$A$5:$A$44,0)),"Not found"))</f>
        <v>Kamran Bhatti</v>
      </c>
      <c r="D11" s="13" t="s">
        <v>153</v>
      </c>
      <c r="E11" s="23" t="n">
        <v>46316.6666666667</v>
      </c>
      <c r="F11" s="23" t="n">
        <v>46317.1666666667</v>
      </c>
      <c r="G11" s="13" t="n">
        <v>4</v>
      </c>
      <c r="H11" s="13" t="n">
        <v>4</v>
      </c>
      <c r="I11" s="13" t="n">
        <v>4</v>
      </c>
      <c r="J11" s="13" t="n">
        <v>3</v>
      </c>
      <c r="K11" s="13" t="n">
        <v>4</v>
      </c>
      <c r="L11" s="13" t="s">
        <v>149</v>
      </c>
      <c r="M11" s="24" t="n">
        <f aca="false">IF(COUNT(G11:K11)=0,"",SUMPRODUCT(G11:K11,Settings!$B$12:$F$12)/SUMPRODUCT((G11:K11&lt;&gt;"")*Settings!$B$12:$F$12))</f>
        <v>3.85</v>
      </c>
      <c r="N11" s="8" t="n">
        <f aca="false">IF(OR(E11="",F11=""),"",ROUND((F11-E11)*24,1))</f>
        <v>12</v>
      </c>
      <c r="O11" s="7" t="str">
        <f aca="false">IF(N11="","",IF(N11&lt;=Settings!$B$3,"On time","Late"))</f>
        <v>On time</v>
      </c>
      <c r="P11" s="7" t="str">
        <f aca="false">IF(M11="","",IF(M11&gt;=Settings!$B$6,"Strong hire",IF(M11&gt;=Settings!$B$7,"Discuss at debrief","Do not proceed")))</f>
        <v>Discuss at debrief</v>
      </c>
      <c r="Q11" s="24" t="n">
        <f aca="false">IF(M11="","",_xlfn.MAXIFS($M$5:$M$40,$B$5:$B$40,B11)-_xlfn.MINIFS($M$5:$M$40,$B$5:$B$40,B11))</f>
        <v>0.7</v>
      </c>
      <c r="R11" s="7" t="str">
        <f aca="false">IF(Q11="","",IF(Q11&gt;Settings!$B$5,"Debrief gap","OK"))</f>
        <v>OK</v>
      </c>
    </row>
    <row r="12" customFormat="false" ht="15" hidden="false" customHeight="false" outlineLevel="0" collapsed="false">
      <c r="A12" s="13" t="s">
        <v>160</v>
      </c>
      <c r="B12" s="13" t="s">
        <v>128</v>
      </c>
      <c r="C12" s="7" t="str">
        <f aca="false">IF(B12="","",IFERROR(INDEX(Candidates!$B$5:$B$44,MATCH(B12,Candidates!$A$5:$A$44,0)),"Not found"))</f>
        <v>Kamran Bhatti</v>
      </c>
      <c r="D12" s="13" t="s">
        <v>155</v>
      </c>
      <c r="E12" s="23" t="n">
        <v>46316.875</v>
      </c>
      <c r="F12" s="23" t="n">
        <v>46318.1666666667</v>
      </c>
      <c r="G12" s="13" t="n">
        <v>3</v>
      </c>
      <c r="H12" s="13" t="n">
        <v>3</v>
      </c>
      <c r="I12" s="13" t="n">
        <v>3</v>
      </c>
      <c r="J12" s="13" t="n">
        <v>4</v>
      </c>
      <c r="K12" s="13" t="n">
        <v>3</v>
      </c>
      <c r="L12" s="13" t="s">
        <v>149</v>
      </c>
      <c r="M12" s="24" t="n">
        <f aca="false">IF(COUNT(G12:K12)=0,"",SUMPRODUCT(G12:K12,Settings!$B$12:$F$12)/SUMPRODUCT((G12:K12&lt;&gt;"")*Settings!$B$12:$F$12))</f>
        <v>3.15</v>
      </c>
      <c r="N12" s="8" t="n">
        <f aca="false">IF(OR(E12="",F12=""),"",ROUND((F12-E12)*24,1))</f>
        <v>31</v>
      </c>
      <c r="O12" s="7" t="str">
        <f aca="false">IF(N12="","",IF(N12&lt;=Settings!$B$3,"On time","Late"))</f>
        <v>Late</v>
      </c>
      <c r="P12" s="7" t="str">
        <f aca="false">IF(M12="","",IF(M12&gt;=Settings!$B$6,"Strong hire",IF(M12&gt;=Settings!$B$7,"Discuss at debrief","Do not proceed")))</f>
        <v>Discuss at debrief</v>
      </c>
      <c r="Q12" s="24" t="n">
        <f aca="false">IF(M12="","",_xlfn.MAXIFS($M$5:$M$40,$B$5:$B$40,B12)-_xlfn.MINIFS($M$5:$M$40,$B$5:$B$40,B12))</f>
        <v>0.7</v>
      </c>
      <c r="R12" s="7" t="str">
        <f aca="false">IF(Q12="","",IF(Q12&gt;Settings!$B$5,"Debrief gap","OK"))</f>
        <v>OK</v>
      </c>
    </row>
    <row r="13" customFormat="false" ht="15" hidden="false" customHeight="false" outlineLevel="0" collapsed="false">
      <c r="A13" s="13" t="s">
        <v>161</v>
      </c>
      <c r="B13" s="13" t="s">
        <v>120</v>
      </c>
      <c r="C13" s="7" t="str">
        <f aca="false">IF(B13="","",IFERROR(INDEX(Candidates!$B$5:$B$44,MATCH(B13,Candidates!$A$5:$A$44,0)),"Not found"))</f>
        <v>Rabia Anwar</v>
      </c>
      <c r="D13" s="13" t="s">
        <v>148</v>
      </c>
      <c r="E13" s="23" t="n">
        <v>46317.0833333333</v>
      </c>
      <c r="F13" s="23" t="n">
        <v>46317.7083333333</v>
      </c>
      <c r="G13" s="13" t="n">
        <v>5</v>
      </c>
      <c r="H13" s="13" t="n">
        <v>5</v>
      </c>
      <c r="I13" s="13" t="n">
        <v>4</v>
      </c>
      <c r="J13" s="13" t="n">
        <v>5</v>
      </c>
      <c r="K13" s="13" t="n">
        <v>4</v>
      </c>
      <c r="L13" s="13" t="s">
        <v>149</v>
      </c>
      <c r="M13" s="24" t="n">
        <f aca="false">IF(COUNT(G13:K13)=0,"",SUMPRODUCT(G13:K13,Settings!$B$12:$F$12)/SUMPRODUCT((G13:K13&lt;&gt;"")*Settings!$B$12:$F$12))</f>
        <v>4.65</v>
      </c>
      <c r="N13" s="8" t="n">
        <f aca="false">IF(OR(E13="",F13=""),"",ROUND((F13-E13)*24,1))</f>
        <v>15</v>
      </c>
      <c r="O13" s="7" t="str">
        <f aca="false">IF(N13="","",IF(N13&lt;=Settings!$B$3,"On time","Late"))</f>
        <v>On time</v>
      </c>
      <c r="P13" s="7" t="str">
        <f aca="false">IF(M13="","",IF(M13&gt;=Settings!$B$6,"Strong hire",IF(M13&gt;=Settings!$B$7,"Discuss at debrief","Do not proceed")))</f>
        <v>Strong hire</v>
      </c>
      <c r="Q13" s="24" t="n">
        <f aca="false">IF(M13="","",_xlfn.MAXIFS($M$5:$M$40,$B$5:$B$40,B13)-_xlfn.MINIFS($M$5:$M$40,$B$5:$B$40,B13))</f>
        <v>0.100000000000001</v>
      </c>
      <c r="R13" s="7" t="str">
        <f aca="false">IF(Q13="","",IF(Q13&gt;Settings!$B$5,"Debrief gap","OK"))</f>
        <v>OK</v>
      </c>
    </row>
    <row r="14" customFormat="false" ht="15" hidden="false" customHeight="false" outlineLevel="0" collapsed="false">
      <c r="A14" s="13" t="s">
        <v>162</v>
      </c>
      <c r="B14" s="13" t="s">
        <v>120</v>
      </c>
      <c r="C14" s="7" t="str">
        <f aca="false">IF(B14="","",IFERROR(INDEX(Candidates!$B$5:$B$44,MATCH(B14,Candidates!$A$5:$A$44,0)),"Not found"))</f>
        <v>Rabia Anwar</v>
      </c>
      <c r="D14" s="13" t="s">
        <v>151</v>
      </c>
      <c r="E14" s="23" t="n">
        <v>46317.2916666667</v>
      </c>
      <c r="F14" s="23" t="n">
        <v>46318.25</v>
      </c>
      <c r="G14" s="13" t="n">
        <v>4</v>
      </c>
      <c r="H14" s="13" t="n">
        <v>5</v>
      </c>
      <c r="I14" s="13" t="n">
        <v>5</v>
      </c>
      <c r="J14" s="13" t="n">
        <v>4</v>
      </c>
      <c r="K14" s="13" t="n">
        <v>5</v>
      </c>
      <c r="L14" s="13" t="s">
        <v>149</v>
      </c>
      <c r="M14" s="24" t="n">
        <f aca="false">IF(COUNT(G14:K14)=0,"",SUMPRODUCT(G14:K14,Settings!$B$12:$F$12)/SUMPRODUCT((G14:K14&lt;&gt;"")*Settings!$B$12:$F$12))</f>
        <v>4.55</v>
      </c>
      <c r="N14" s="8" t="n">
        <f aca="false">IF(OR(E14="",F14=""),"",ROUND((F14-E14)*24,1))</f>
        <v>23</v>
      </c>
      <c r="O14" s="7" t="str">
        <f aca="false">IF(N14="","",IF(N14&lt;=Settings!$B$3,"On time","Late"))</f>
        <v>On time</v>
      </c>
      <c r="P14" s="7" t="str">
        <f aca="false">IF(M14="","",IF(M14&gt;=Settings!$B$6,"Strong hire",IF(M14&gt;=Settings!$B$7,"Discuss at debrief","Do not proceed")))</f>
        <v>Strong hire</v>
      </c>
      <c r="Q14" s="24" t="n">
        <f aca="false">IF(M14="","",_xlfn.MAXIFS($M$5:$M$40,$B$5:$B$40,B14)-_xlfn.MINIFS($M$5:$M$40,$B$5:$B$40,B14))</f>
        <v>0.100000000000001</v>
      </c>
      <c r="R14" s="7" t="str">
        <f aca="false">IF(Q14="","",IF(Q14&gt;Settings!$B$5,"Debrief gap","OK"))</f>
        <v>OK</v>
      </c>
    </row>
    <row r="15" customFormat="false" ht="15" hidden="false" customHeight="false" outlineLevel="0" collapsed="false">
      <c r="A15" s="13"/>
      <c r="B15" s="13"/>
      <c r="C15" s="7" t="str">
        <f aca="false">IF(B15="","",IFERROR(INDEX(Candidates!$B$5:$B$44,MATCH(B15,Candidates!$A$5:$A$44,0)),"Not found"))</f>
        <v/>
      </c>
      <c r="D15" s="13"/>
      <c r="E15" s="23"/>
      <c r="F15" s="23"/>
      <c r="G15" s="13"/>
      <c r="H15" s="13"/>
      <c r="I15" s="13"/>
      <c r="J15" s="13"/>
      <c r="K15" s="13"/>
      <c r="L15" s="13"/>
      <c r="M15" s="24" t="str">
        <f aca="false">IF(COUNT(G15:K15)=0,"",SUMPRODUCT(G15:K15,Settings!$B$12:$F$12)/SUMPRODUCT((G15:K15&lt;&gt;"")*Settings!$B$12:$F$12))</f>
        <v/>
      </c>
      <c r="N15" s="8" t="str">
        <f aca="false">IF(OR(E15="",F15=""),"",ROUND((F15-E15)*24,1))</f>
        <v/>
      </c>
      <c r="O15" s="7" t="str">
        <f aca="false">IF(N15="","",IF(N15&lt;=Settings!$B$3,"On time","Late"))</f>
        <v/>
      </c>
      <c r="P15" s="7" t="str">
        <f aca="false">IF(M15="","",IF(M15&gt;=Settings!$B$6,"Strong hire",IF(M15&gt;=Settings!$B$7,"Discuss at debrief","Do not proceed")))</f>
        <v/>
      </c>
      <c r="Q15" s="24" t="str">
        <f aca="false">IF(M15="","",_xlfn.MAXIFS($M$5:$M$40,$B$5:$B$40,B15)-_xlfn.MINIFS($M$5:$M$40,$B$5:$B$40,B15))</f>
        <v/>
      </c>
      <c r="R15" s="7" t="str">
        <f aca="false">IF(Q15="","",IF(Q15&gt;Settings!$B$5,"Debrief gap","OK"))</f>
        <v/>
      </c>
    </row>
    <row r="16" customFormat="false" ht="15" hidden="false" customHeight="false" outlineLevel="0" collapsed="false">
      <c r="A16" s="13"/>
      <c r="B16" s="13"/>
      <c r="C16" s="7" t="str">
        <f aca="false">IF(B16="","",IFERROR(INDEX(Candidates!$B$5:$B$44,MATCH(B16,Candidates!$A$5:$A$44,0)),"Not found"))</f>
        <v/>
      </c>
      <c r="D16" s="13"/>
      <c r="E16" s="23"/>
      <c r="F16" s="23"/>
      <c r="G16" s="13"/>
      <c r="H16" s="13"/>
      <c r="I16" s="13"/>
      <c r="J16" s="13"/>
      <c r="K16" s="13"/>
      <c r="L16" s="13"/>
      <c r="M16" s="24" t="str">
        <f aca="false">IF(COUNT(G16:K16)=0,"",SUMPRODUCT(G16:K16,Settings!$B$12:$F$12)/SUMPRODUCT((G16:K16&lt;&gt;"")*Settings!$B$12:$F$12))</f>
        <v/>
      </c>
      <c r="N16" s="8" t="str">
        <f aca="false">IF(OR(E16="",F16=""),"",ROUND((F16-E16)*24,1))</f>
        <v/>
      </c>
      <c r="O16" s="7" t="str">
        <f aca="false">IF(N16="","",IF(N16&lt;=Settings!$B$3,"On time","Late"))</f>
        <v/>
      </c>
      <c r="P16" s="7" t="str">
        <f aca="false">IF(M16="","",IF(M16&gt;=Settings!$B$6,"Strong hire",IF(M16&gt;=Settings!$B$7,"Discuss at debrief","Do not proceed")))</f>
        <v/>
      </c>
      <c r="Q16" s="24" t="str">
        <f aca="false">IF(M16="","",_xlfn.MAXIFS($M$5:$M$40,$B$5:$B$40,B16)-_xlfn.MINIFS($M$5:$M$40,$B$5:$B$40,B16))</f>
        <v/>
      </c>
      <c r="R16" s="7" t="str">
        <f aca="false">IF(Q16="","",IF(Q16&gt;Settings!$B$5,"Debrief gap","OK"))</f>
        <v/>
      </c>
    </row>
    <row r="17" customFormat="false" ht="15" hidden="false" customHeight="false" outlineLevel="0" collapsed="false">
      <c r="A17" s="13"/>
      <c r="B17" s="13"/>
      <c r="C17" s="7" t="str">
        <f aca="false">IF(B17="","",IFERROR(INDEX(Candidates!$B$5:$B$44,MATCH(B17,Candidates!$A$5:$A$44,0)),"Not found"))</f>
        <v/>
      </c>
      <c r="D17" s="13"/>
      <c r="E17" s="23"/>
      <c r="F17" s="23"/>
      <c r="G17" s="13"/>
      <c r="H17" s="13"/>
      <c r="I17" s="13"/>
      <c r="J17" s="13"/>
      <c r="K17" s="13"/>
      <c r="L17" s="13"/>
      <c r="M17" s="24" t="str">
        <f aca="false">IF(COUNT(G17:K17)=0,"",SUMPRODUCT(G17:K17,Settings!$B$12:$F$12)/SUMPRODUCT((G17:K17&lt;&gt;"")*Settings!$B$12:$F$12))</f>
        <v/>
      </c>
      <c r="N17" s="8" t="str">
        <f aca="false">IF(OR(E17="",F17=""),"",ROUND((F17-E17)*24,1))</f>
        <v/>
      </c>
      <c r="O17" s="7" t="str">
        <f aca="false">IF(N17="","",IF(N17&lt;=Settings!$B$3,"On time","Late"))</f>
        <v/>
      </c>
      <c r="P17" s="7" t="str">
        <f aca="false">IF(M17="","",IF(M17&gt;=Settings!$B$6,"Strong hire",IF(M17&gt;=Settings!$B$7,"Discuss at debrief","Do not proceed")))</f>
        <v/>
      </c>
      <c r="Q17" s="24" t="str">
        <f aca="false">IF(M17="","",_xlfn.MAXIFS($M$5:$M$40,$B$5:$B$40,B17)-_xlfn.MINIFS($M$5:$M$40,$B$5:$B$40,B17))</f>
        <v/>
      </c>
      <c r="R17" s="7" t="str">
        <f aca="false">IF(Q17="","",IF(Q17&gt;Settings!$B$5,"Debrief gap","OK"))</f>
        <v/>
      </c>
    </row>
    <row r="18" customFormat="false" ht="15" hidden="false" customHeight="false" outlineLevel="0" collapsed="false">
      <c r="A18" s="13"/>
      <c r="B18" s="13"/>
      <c r="C18" s="7" t="str">
        <f aca="false">IF(B18="","",IFERROR(INDEX(Candidates!$B$5:$B$44,MATCH(B18,Candidates!$A$5:$A$44,0)),"Not found"))</f>
        <v/>
      </c>
      <c r="D18" s="13"/>
      <c r="E18" s="23"/>
      <c r="F18" s="23"/>
      <c r="G18" s="13"/>
      <c r="H18" s="13"/>
      <c r="I18" s="13"/>
      <c r="J18" s="13"/>
      <c r="K18" s="13"/>
      <c r="L18" s="13"/>
      <c r="M18" s="24" t="str">
        <f aca="false">IF(COUNT(G18:K18)=0,"",SUMPRODUCT(G18:K18,Settings!$B$12:$F$12)/SUMPRODUCT((G18:K18&lt;&gt;"")*Settings!$B$12:$F$12))</f>
        <v/>
      </c>
      <c r="N18" s="8" t="str">
        <f aca="false">IF(OR(E18="",F18=""),"",ROUND((F18-E18)*24,1))</f>
        <v/>
      </c>
      <c r="O18" s="7" t="str">
        <f aca="false">IF(N18="","",IF(N18&lt;=Settings!$B$3,"On time","Late"))</f>
        <v/>
      </c>
      <c r="P18" s="7" t="str">
        <f aca="false">IF(M18="","",IF(M18&gt;=Settings!$B$6,"Strong hire",IF(M18&gt;=Settings!$B$7,"Discuss at debrief","Do not proceed")))</f>
        <v/>
      </c>
      <c r="Q18" s="24" t="str">
        <f aca="false">IF(M18="","",_xlfn.MAXIFS($M$5:$M$40,$B$5:$B$40,B18)-_xlfn.MINIFS($M$5:$M$40,$B$5:$B$40,B18))</f>
        <v/>
      </c>
      <c r="R18" s="7" t="str">
        <f aca="false">IF(Q18="","",IF(Q18&gt;Settings!$B$5,"Debrief gap","OK"))</f>
        <v/>
      </c>
    </row>
    <row r="19" customFormat="false" ht="15" hidden="false" customHeight="false" outlineLevel="0" collapsed="false">
      <c r="A19" s="13"/>
      <c r="B19" s="13"/>
      <c r="C19" s="7" t="str">
        <f aca="false">IF(B19="","",IFERROR(INDEX(Candidates!$B$5:$B$44,MATCH(B19,Candidates!$A$5:$A$44,0)),"Not found"))</f>
        <v/>
      </c>
      <c r="D19" s="13"/>
      <c r="E19" s="23"/>
      <c r="F19" s="23"/>
      <c r="G19" s="13"/>
      <c r="H19" s="13"/>
      <c r="I19" s="13"/>
      <c r="J19" s="13"/>
      <c r="K19" s="13"/>
      <c r="L19" s="13"/>
      <c r="M19" s="24" t="str">
        <f aca="false">IF(COUNT(G19:K19)=0,"",SUMPRODUCT(G19:K19,Settings!$B$12:$F$12)/SUMPRODUCT((G19:K19&lt;&gt;"")*Settings!$B$12:$F$12))</f>
        <v/>
      </c>
      <c r="N19" s="8" t="str">
        <f aca="false">IF(OR(E19="",F19=""),"",ROUND((F19-E19)*24,1))</f>
        <v/>
      </c>
      <c r="O19" s="7" t="str">
        <f aca="false">IF(N19="","",IF(N19&lt;=Settings!$B$3,"On time","Late"))</f>
        <v/>
      </c>
      <c r="P19" s="7" t="str">
        <f aca="false">IF(M19="","",IF(M19&gt;=Settings!$B$6,"Strong hire",IF(M19&gt;=Settings!$B$7,"Discuss at debrief","Do not proceed")))</f>
        <v/>
      </c>
      <c r="Q19" s="24" t="str">
        <f aca="false">IF(M19="","",_xlfn.MAXIFS($M$5:$M$40,$B$5:$B$40,B19)-_xlfn.MINIFS($M$5:$M$40,$B$5:$B$40,B19))</f>
        <v/>
      </c>
      <c r="R19" s="7" t="str">
        <f aca="false">IF(Q19="","",IF(Q19&gt;Settings!$B$5,"Debrief gap","OK"))</f>
        <v/>
      </c>
    </row>
    <row r="20" customFormat="false" ht="15" hidden="false" customHeight="false" outlineLevel="0" collapsed="false">
      <c r="A20" s="13"/>
      <c r="B20" s="13"/>
      <c r="C20" s="7" t="str">
        <f aca="false">IF(B20="","",IFERROR(INDEX(Candidates!$B$5:$B$44,MATCH(B20,Candidates!$A$5:$A$44,0)),"Not found"))</f>
        <v/>
      </c>
      <c r="D20" s="13"/>
      <c r="E20" s="23"/>
      <c r="F20" s="23"/>
      <c r="G20" s="13"/>
      <c r="H20" s="13"/>
      <c r="I20" s="13"/>
      <c r="J20" s="13"/>
      <c r="K20" s="13"/>
      <c r="L20" s="13"/>
      <c r="M20" s="24" t="str">
        <f aca="false">IF(COUNT(G20:K20)=0,"",SUMPRODUCT(G20:K20,Settings!$B$12:$F$12)/SUMPRODUCT((G20:K20&lt;&gt;"")*Settings!$B$12:$F$12))</f>
        <v/>
      </c>
      <c r="N20" s="8" t="str">
        <f aca="false">IF(OR(E20="",F20=""),"",ROUND((F20-E20)*24,1))</f>
        <v/>
      </c>
      <c r="O20" s="7" t="str">
        <f aca="false">IF(N20="","",IF(N20&lt;=Settings!$B$3,"On time","Late"))</f>
        <v/>
      </c>
      <c r="P20" s="7" t="str">
        <f aca="false">IF(M20="","",IF(M20&gt;=Settings!$B$6,"Strong hire",IF(M20&gt;=Settings!$B$7,"Discuss at debrief","Do not proceed")))</f>
        <v/>
      </c>
      <c r="Q20" s="24" t="str">
        <f aca="false">IF(M20="","",_xlfn.MAXIFS($M$5:$M$40,$B$5:$B$40,B20)-_xlfn.MINIFS($M$5:$M$40,$B$5:$B$40,B20))</f>
        <v/>
      </c>
      <c r="R20" s="7" t="str">
        <f aca="false">IF(Q20="","",IF(Q20&gt;Settings!$B$5,"Debrief gap","OK"))</f>
        <v/>
      </c>
    </row>
    <row r="21" customFormat="false" ht="15" hidden="false" customHeight="false" outlineLevel="0" collapsed="false">
      <c r="A21" s="13"/>
      <c r="B21" s="13"/>
      <c r="C21" s="7" t="str">
        <f aca="false">IF(B21="","",IFERROR(INDEX(Candidates!$B$5:$B$44,MATCH(B21,Candidates!$A$5:$A$44,0)),"Not found"))</f>
        <v/>
      </c>
      <c r="D21" s="13"/>
      <c r="E21" s="23"/>
      <c r="F21" s="23"/>
      <c r="G21" s="13"/>
      <c r="H21" s="13"/>
      <c r="I21" s="13"/>
      <c r="J21" s="13"/>
      <c r="K21" s="13"/>
      <c r="L21" s="13"/>
      <c r="M21" s="24" t="str">
        <f aca="false">IF(COUNT(G21:K21)=0,"",SUMPRODUCT(G21:K21,Settings!$B$12:$F$12)/SUMPRODUCT((G21:K21&lt;&gt;"")*Settings!$B$12:$F$12))</f>
        <v/>
      </c>
      <c r="N21" s="8" t="str">
        <f aca="false">IF(OR(E21="",F21=""),"",ROUND((F21-E21)*24,1))</f>
        <v/>
      </c>
      <c r="O21" s="7" t="str">
        <f aca="false">IF(N21="","",IF(N21&lt;=Settings!$B$3,"On time","Late"))</f>
        <v/>
      </c>
      <c r="P21" s="7" t="str">
        <f aca="false">IF(M21="","",IF(M21&gt;=Settings!$B$6,"Strong hire",IF(M21&gt;=Settings!$B$7,"Discuss at debrief","Do not proceed")))</f>
        <v/>
      </c>
      <c r="Q21" s="24" t="str">
        <f aca="false">IF(M21="","",_xlfn.MAXIFS($M$5:$M$40,$B$5:$B$40,B21)-_xlfn.MINIFS($M$5:$M$40,$B$5:$B$40,B21))</f>
        <v/>
      </c>
      <c r="R21" s="7" t="str">
        <f aca="false">IF(Q21="","",IF(Q21&gt;Settings!$B$5,"Debrief gap","OK"))</f>
        <v/>
      </c>
    </row>
    <row r="22" customFormat="false" ht="15" hidden="false" customHeight="false" outlineLevel="0" collapsed="false">
      <c r="A22" s="13"/>
      <c r="B22" s="13"/>
      <c r="C22" s="7" t="str">
        <f aca="false">IF(B22="","",IFERROR(INDEX(Candidates!$B$5:$B$44,MATCH(B22,Candidates!$A$5:$A$44,0)),"Not found"))</f>
        <v/>
      </c>
      <c r="D22" s="13"/>
      <c r="E22" s="23"/>
      <c r="F22" s="23"/>
      <c r="G22" s="13"/>
      <c r="H22" s="13"/>
      <c r="I22" s="13"/>
      <c r="J22" s="13"/>
      <c r="K22" s="13"/>
      <c r="L22" s="13"/>
      <c r="M22" s="24" t="str">
        <f aca="false">IF(COUNT(G22:K22)=0,"",SUMPRODUCT(G22:K22,Settings!$B$12:$F$12)/SUMPRODUCT((G22:K22&lt;&gt;"")*Settings!$B$12:$F$12))</f>
        <v/>
      </c>
      <c r="N22" s="8" t="str">
        <f aca="false">IF(OR(E22="",F22=""),"",ROUND((F22-E22)*24,1))</f>
        <v/>
      </c>
      <c r="O22" s="7" t="str">
        <f aca="false">IF(N22="","",IF(N22&lt;=Settings!$B$3,"On time","Late"))</f>
        <v/>
      </c>
      <c r="P22" s="7" t="str">
        <f aca="false">IF(M22="","",IF(M22&gt;=Settings!$B$6,"Strong hire",IF(M22&gt;=Settings!$B$7,"Discuss at debrief","Do not proceed")))</f>
        <v/>
      </c>
      <c r="Q22" s="24" t="str">
        <f aca="false">IF(M22="","",_xlfn.MAXIFS($M$5:$M$40,$B$5:$B$40,B22)-_xlfn.MINIFS($M$5:$M$40,$B$5:$B$40,B22))</f>
        <v/>
      </c>
      <c r="R22" s="7" t="str">
        <f aca="false">IF(Q22="","",IF(Q22&gt;Settings!$B$5,"Debrief gap","OK"))</f>
        <v/>
      </c>
    </row>
    <row r="23" customFormat="false" ht="15" hidden="false" customHeight="false" outlineLevel="0" collapsed="false">
      <c r="A23" s="13"/>
      <c r="B23" s="13"/>
      <c r="C23" s="7" t="str">
        <f aca="false">IF(B23="","",IFERROR(INDEX(Candidates!$B$5:$B$44,MATCH(B23,Candidates!$A$5:$A$44,0)),"Not found"))</f>
        <v/>
      </c>
      <c r="D23" s="13"/>
      <c r="E23" s="23"/>
      <c r="F23" s="23"/>
      <c r="G23" s="13"/>
      <c r="H23" s="13"/>
      <c r="I23" s="13"/>
      <c r="J23" s="13"/>
      <c r="K23" s="13"/>
      <c r="L23" s="13"/>
      <c r="M23" s="24" t="str">
        <f aca="false">IF(COUNT(G23:K23)=0,"",SUMPRODUCT(G23:K23,Settings!$B$12:$F$12)/SUMPRODUCT((G23:K23&lt;&gt;"")*Settings!$B$12:$F$12))</f>
        <v/>
      </c>
      <c r="N23" s="8" t="str">
        <f aca="false">IF(OR(E23="",F23=""),"",ROUND((F23-E23)*24,1))</f>
        <v/>
      </c>
      <c r="O23" s="7" t="str">
        <f aca="false">IF(N23="","",IF(N23&lt;=Settings!$B$3,"On time","Late"))</f>
        <v/>
      </c>
      <c r="P23" s="7" t="str">
        <f aca="false">IF(M23="","",IF(M23&gt;=Settings!$B$6,"Strong hire",IF(M23&gt;=Settings!$B$7,"Discuss at debrief","Do not proceed")))</f>
        <v/>
      </c>
      <c r="Q23" s="24" t="str">
        <f aca="false">IF(M23="","",_xlfn.MAXIFS($M$5:$M$40,$B$5:$B$40,B23)-_xlfn.MINIFS($M$5:$M$40,$B$5:$B$40,B23))</f>
        <v/>
      </c>
      <c r="R23" s="7" t="str">
        <f aca="false">IF(Q23="","",IF(Q23&gt;Settings!$B$5,"Debrief gap","OK"))</f>
        <v/>
      </c>
    </row>
    <row r="24" customFormat="false" ht="15" hidden="false" customHeight="false" outlineLevel="0" collapsed="false">
      <c r="A24" s="13"/>
      <c r="B24" s="13"/>
      <c r="C24" s="7" t="str">
        <f aca="false">IF(B24="","",IFERROR(INDEX(Candidates!$B$5:$B$44,MATCH(B24,Candidates!$A$5:$A$44,0)),"Not found"))</f>
        <v/>
      </c>
      <c r="D24" s="13"/>
      <c r="E24" s="23"/>
      <c r="F24" s="23"/>
      <c r="G24" s="13"/>
      <c r="H24" s="13"/>
      <c r="I24" s="13"/>
      <c r="J24" s="13"/>
      <c r="K24" s="13"/>
      <c r="L24" s="13"/>
      <c r="M24" s="24" t="str">
        <f aca="false">IF(COUNT(G24:K24)=0,"",SUMPRODUCT(G24:K24,Settings!$B$12:$F$12)/SUMPRODUCT((G24:K24&lt;&gt;"")*Settings!$B$12:$F$12))</f>
        <v/>
      </c>
      <c r="N24" s="8" t="str">
        <f aca="false">IF(OR(E24="",F24=""),"",ROUND((F24-E24)*24,1))</f>
        <v/>
      </c>
      <c r="O24" s="7" t="str">
        <f aca="false">IF(N24="","",IF(N24&lt;=Settings!$B$3,"On time","Late"))</f>
        <v/>
      </c>
      <c r="P24" s="7" t="str">
        <f aca="false">IF(M24="","",IF(M24&gt;=Settings!$B$6,"Strong hire",IF(M24&gt;=Settings!$B$7,"Discuss at debrief","Do not proceed")))</f>
        <v/>
      </c>
      <c r="Q24" s="24" t="str">
        <f aca="false">IF(M24="","",_xlfn.MAXIFS($M$5:$M$40,$B$5:$B$40,B24)-_xlfn.MINIFS($M$5:$M$40,$B$5:$B$40,B24))</f>
        <v/>
      </c>
      <c r="R24" s="7" t="str">
        <f aca="false">IF(Q24="","",IF(Q24&gt;Settings!$B$5,"Debrief gap","OK"))</f>
        <v/>
      </c>
    </row>
    <row r="25" customFormat="false" ht="15" hidden="false" customHeight="false" outlineLevel="0" collapsed="false">
      <c r="A25" s="13"/>
      <c r="B25" s="13"/>
      <c r="C25" s="7" t="str">
        <f aca="false">IF(B25="","",IFERROR(INDEX(Candidates!$B$5:$B$44,MATCH(B25,Candidates!$A$5:$A$44,0)),"Not found"))</f>
        <v/>
      </c>
      <c r="D25" s="13"/>
      <c r="E25" s="23"/>
      <c r="F25" s="23"/>
      <c r="G25" s="13"/>
      <c r="H25" s="13"/>
      <c r="I25" s="13"/>
      <c r="J25" s="13"/>
      <c r="K25" s="13"/>
      <c r="L25" s="13"/>
      <c r="M25" s="24" t="str">
        <f aca="false">IF(COUNT(G25:K25)=0,"",SUMPRODUCT(G25:K25,Settings!$B$12:$F$12)/SUMPRODUCT((G25:K25&lt;&gt;"")*Settings!$B$12:$F$12))</f>
        <v/>
      </c>
      <c r="N25" s="8" t="str">
        <f aca="false">IF(OR(E25="",F25=""),"",ROUND((F25-E25)*24,1))</f>
        <v/>
      </c>
      <c r="O25" s="7" t="str">
        <f aca="false">IF(N25="","",IF(N25&lt;=Settings!$B$3,"On time","Late"))</f>
        <v/>
      </c>
      <c r="P25" s="7" t="str">
        <f aca="false">IF(M25="","",IF(M25&gt;=Settings!$B$6,"Strong hire",IF(M25&gt;=Settings!$B$7,"Discuss at debrief","Do not proceed")))</f>
        <v/>
      </c>
      <c r="Q25" s="24" t="str">
        <f aca="false">IF(M25="","",_xlfn.MAXIFS($M$5:$M$40,$B$5:$B$40,B25)-_xlfn.MINIFS($M$5:$M$40,$B$5:$B$40,B25))</f>
        <v/>
      </c>
      <c r="R25" s="7" t="str">
        <f aca="false">IF(Q25="","",IF(Q25&gt;Settings!$B$5,"Debrief gap","OK"))</f>
        <v/>
      </c>
    </row>
    <row r="26" customFormat="false" ht="15" hidden="false" customHeight="false" outlineLevel="0" collapsed="false">
      <c r="A26" s="13"/>
      <c r="B26" s="13"/>
      <c r="C26" s="7" t="str">
        <f aca="false">IF(B26="","",IFERROR(INDEX(Candidates!$B$5:$B$44,MATCH(B26,Candidates!$A$5:$A$44,0)),"Not found"))</f>
        <v/>
      </c>
      <c r="D26" s="13"/>
      <c r="E26" s="23"/>
      <c r="F26" s="23"/>
      <c r="G26" s="13"/>
      <c r="H26" s="13"/>
      <c r="I26" s="13"/>
      <c r="J26" s="13"/>
      <c r="K26" s="13"/>
      <c r="L26" s="13"/>
      <c r="M26" s="24" t="str">
        <f aca="false">IF(COUNT(G26:K26)=0,"",SUMPRODUCT(G26:K26,Settings!$B$12:$F$12)/SUMPRODUCT((G26:K26&lt;&gt;"")*Settings!$B$12:$F$12))</f>
        <v/>
      </c>
      <c r="N26" s="8" t="str">
        <f aca="false">IF(OR(E26="",F26=""),"",ROUND((F26-E26)*24,1))</f>
        <v/>
      </c>
      <c r="O26" s="7" t="str">
        <f aca="false">IF(N26="","",IF(N26&lt;=Settings!$B$3,"On time","Late"))</f>
        <v/>
      </c>
      <c r="P26" s="7" t="str">
        <f aca="false">IF(M26="","",IF(M26&gt;=Settings!$B$6,"Strong hire",IF(M26&gt;=Settings!$B$7,"Discuss at debrief","Do not proceed")))</f>
        <v/>
      </c>
      <c r="Q26" s="24" t="str">
        <f aca="false">IF(M26="","",_xlfn.MAXIFS($M$5:$M$40,$B$5:$B$40,B26)-_xlfn.MINIFS($M$5:$M$40,$B$5:$B$40,B26))</f>
        <v/>
      </c>
      <c r="R26" s="7" t="str">
        <f aca="false">IF(Q26="","",IF(Q26&gt;Settings!$B$5,"Debrief gap","OK"))</f>
        <v/>
      </c>
    </row>
    <row r="27" customFormat="false" ht="15" hidden="false" customHeight="false" outlineLevel="0" collapsed="false">
      <c r="A27" s="13"/>
      <c r="B27" s="13"/>
      <c r="C27" s="7" t="str">
        <f aca="false">IF(B27="","",IFERROR(INDEX(Candidates!$B$5:$B$44,MATCH(B27,Candidates!$A$5:$A$44,0)),"Not found"))</f>
        <v/>
      </c>
      <c r="D27" s="13"/>
      <c r="E27" s="23"/>
      <c r="F27" s="23"/>
      <c r="G27" s="13"/>
      <c r="H27" s="13"/>
      <c r="I27" s="13"/>
      <c r="J27" s="13"/>
      <c r="K27" s="13"/>
      <c r="L27" s="13"/>
      <c r="M27" s="24" t="str">
        <f aca="false">IF(COUNT(G27:K27)=0,"",SUMPRODUCT(G27:K27,Settings!$B$12:$F$12)/SUMPRODUCT((G27:K27&lt;&gt;"")*Settings!$B$12:$F$12))</f>
        <v/>
      </c>
      <c r="N27" s="8" t="str">
        <f aca="false">IF(OR(E27="",F27=""),"",ROUND((F27-E27)*24,1))</f>
        <v/>
      </c>
      <c r="O27" s="7" t="str">
        <f aca="false">IF(N27="","",IF(N27&lt;=Settings!$B$3,"On time","Late"))</f>
        <v/>
      </c>
      <c r="P27" s="7" t="str">
        <f aca="false">IF(M27="","",IF(M27&gt;=Settings!$B$6,"Strong hire",IF(M27&gt;=Settings!$B$7,"Discuss at debrief","Do not proceed")))</f>
        <v/>
      </c>
      <c r="Q27" s="24" t="str">
        <f aca="false">IF(M27="","",_xlfn.MAXIFS($M$5:$M$40,$B$5:$B$40,B27)-_xlfn.MINIFS($M$5:$M$40,$B$5:$B$40,B27))</f>
        <v/>
      </c>
      <c r="R27" s="7" t="str">
        <f aca="false">IF(Q27="","",IF(Q27&gt;Settings!$B$5,"Debrief gap","OK"))</f>
        <v/>
      </c>
    </row>
    <row r="28" customFormat="false" ht="15" hidden="false" customHeight="false" outlineLevel="0" collapsed="false">
      <c r="A28" s="13"/>
      <c r="B28" s="13"/>
      <c r="C28" s="7" t="str">
        <f aca="false">IF(B28="","",IFERROR(INDEX(Candidates!$B$5:$B$44,MATCH(B28,Candidates!$A$5:$A$44,0)),"Not found"))</f>
        <v/>
      </c>
      <c r="D28" s="13"/>
      <c r="E28" s="23"/>
      <c r="F28" s="23"/>
      <c r="G28" s="13"/>
      <c r="H28" s="13"/>
      <c r="I28" s="13"/>
      <c r="J28" s="13"/>
      <c r="K28" s="13"/>
      <c r="L28" s="13"/>
      <c r="M28" s="24" t="str">
        <f aca="false">IF(COUNT(G28:K28)=0,"",SUMPRODUCT(G28:K28,Settings!$B$12:$F$12)/SUMPRODUCT((G28:K28&lt;&gt;"")*Settings!$B$12:$F$12))</f>
        <v/>
      </c>
      <c r="N28" s="8" t="str">
        <f aca="false">IF(OR(E28="",F28=""),"",ROUND((F28-E28)*24,1))</f>
        <v/>
      </c>
      <c r="O28" s="7" t="str">
        <f aca="false">IF(N28="","",IF(N28&lt;=Settings!$B$3,"On time","Late"))</f>
        <v/>
      </c>
      <c r="P28" s="7" t="str">
        <f aca="false">IF(M28="","",IF(M28&gt;=Settings!$B$6,"Strong hire",IF(M28&gt;=Settings!$B$7,"Discuss at debrief","Do not proceed")))</f>
        <v/>
      </c>
      <c r="Q28" s="24" t="str">
        <f aca="false">IF(M28="","",_xlfn.MAXIFS($M$5:$M$40,$B$5:$B$40,B28)-_xlfn.MINIFS($M$5:$M$40,$B$5:$B$40,B28))</f>
        <v/>
      </c>
      <c r="R28" s="7" t="str">
        <f aca="false">IF(Q28="","",IF(Q28&gt;Settings!$B$5,"Debrief gap","OK"))</f>
        <v/>
      </c>
    </row>
    <row r="29" customFormat="false" ht="15" hidden="false" customHeight="false" outlineLevel="0" collapsed="false">
      <c r="A29" s="13"/>
      <c r="B29" s="13"/>
      <c r="C29" s="7" t="str">
        <f aca="false">IF(B29="","",IFERROR(INDEX(Candidates!$B$5:$B$44,MATCH(B29,Candidates!$A$5:$A$44,0)),"Not found"))</f>
        <v/>
      </c>
      <c r="D29" s="13"/>
      <c r="E29" s="23"/>
      <c r="F29" s="23"/>
      <c r="G29" s="13"/>
      <c r="H29" s="13"/>
      <c r="I29" s="13"/>
      <c r="J29" s="13"/>
      <c r="K29" s="13"/>
      <c r="L29" s="13"/>
      <c r="M29" s="24" t="str">
        <f aca="false">IF(COUNT(G29:K29)=0,"",SUMPRODUCT(G29:K29,Settings!$B$12:$F$12)/SUMPRODUCT((G29:K29&lt;&gt;"")*Settings!$B$12:$F$12))</f>
        <v/>
      </c>
      <c r="N29" s="8" t="str">
        <f aca="false">IF(OR(E29="",F29=""),"",ROUND((F29-E29)*24,1))</f>
        <v/>
      </c>
      <c r="O29" s="7" t="str">
        <f aca="false">IF(N29="","",IF(N29&lt;=Settings!$B$3,"On time","Late"))</f>
        <v/>
      </c>
      <c r="P29" s="7" t="str">
        <f aca="false">IF(M29="","",IF(M29&gt;=Settings!$B$6,"Strong hire",IF(M29&gt;=Settings!$B$7,"Discuss at debrief","Do not proceed")))</f>
        <v/>
      </c>
      <c r="Q29" s="24" t="str">
        <f aca="false">IF(M29="","",_xlfn.MAXIFS($M$5:$M$40,$B$5:$B$40,B29)-_xlfn.MINIFS($M$5:$M$40,$B$5:$B$40,B29))</f>
        <v/>
      </c>
      <c r="R29" s="7" t="str">
        <f aca="false">IF(Q29="","",IF(Q29&gt;Settings!$B$5,"Debrief gap","OK"))</f>
        <v/>
      </c>
    </row>
    <row r="30" customFormat="false" ht="15" hidden="false" customHeight="false" outlineLevel="0" collapsed="false">
      <c r="A30" s="13"/>
      <c r="B30" s="13"/>
      <c r="C30" s="7" t="str">
        <f aca="false">IF(B30="","",IFERROR(INDEX(Candidates!$B$5:$B$44,MATCH(B30,Candidates!$A$5:$A$44,0)),"Not found"))</f>
        <v/>
      </c>
      <c r="D30" s="13"/>
      <c r="E30" s="23"/>
      <c r="F30" s="23"/>
      <c r="G30" s="13"/>
      <c r="H30" s="13"/>
      <c r="I30" s="13"/>
      <c r="J30" s="13"/>
      <c r="K30" s="13"/>
      <c r="L30" s="13"/>
      <c r="M30" s="24" t="str">
        <f aca="false">IF(COUNT(G30:K30)=0,"",SUMPRODUCT(G30:K30,Settings!$B$12:$F$12)/SUMPRODUCT((G30:K30&lt;&gt;"")*Settings!$B$12:$F$12))</f>
        <v/>
      </c>
      <c r="N30" s="8" t="str">
        <f aca="false">IF(OR(E30="",F30=""),"",ROUND((F30-E30)*24,1))</f>
        <v/>
      </c>
      <c r="O30" s="7" t="str">
        <f aca="false">IF(N30="","",IF(N30&lt;=Settings!$B$3,"On time","Late"))</f>
        <v/>
      </c>
      <c r="P30" s="7" t="str">
        <f aca="false">IF(M30="","",IF(M30&gt;=Settings!$B$6,"Strong hire",IF(M30&gt;=Settings!$B$7,"Discuss at debrief","Do not proceed")))</f>
        <v/>
      </c>
      <c r="Q30" s="24" t="str">
        <f aca="false">IF(M30="","",_xlfn.MAXIFS($M$5:$M$40,$B$5:$B$40,B30)-_xlfn.MINIFS($M$5:$M$40,$B$5:$B$40,B30))</f>
        <v/>
      </c>
      <c r="R30" s="7" t="str">
        <f aca="false">IF(Q30="","",IF(Q30&gt;Settings!$B$5,"Debrief gap","OK"))</f>
        <v/>
      </c>
    </row>
    <row r="31" customFormat="false" ht="15" hidden="false" customHeight="false" outlineLevel="0" collapsed="false">
      <c r="A31" s="13"/>
      <c r="B31" s="13"/>
      <c r="C31" s="7" t="str">
        <f aca="false">IF(B31="","",IFERROR(INDEX(Candidates!$B$5:$B$44,MATCH(B31,Candidates!$A$5:$A$44,0)),"Not found"))</f>
        <v/>
      </c>
      <c r="D31" s="13"/>
      <c r="E31" s="23"/>
      <c r="F31" s="23"/>
      <c r="G31" s="13"/>
      <c r="H31" s="13"/>
      <c r="I31" s="13"/>
      <c r="J31" s="13"/>
      <c r="K31" s="13"/>
      <c r="L31" s="13"/>
      <c r="M31" s="24" t="str">
        <f aca="false">IF(COUNT(G31:K31)=0,"",SUMPRODUCT(G31:K31,Settings!$B$12:$F$12)/SUMPRODUCT((G31:K31&lt;&gt;"")*Settings!$B$12:$F$12))</f>
        <v/>
      </c>
      <c r="N31" s="8" t="str">
        <f aca="false">IF(OR(E31="",F31=""),"",ROUND((F31-E31)*24,1))</f>
        <v/>
      </c>
      <c r="O31" s="7" t="str">
        <f aca="false">IF(N31="","",IF(N31&lt;=Settings!$B$3,"On time","Late"))</f>
        <v/>
      </c>
      <c r="P31" s="7" t="str">
        <f aca="false">IF(M31="","",IF(M31&gt;=Settings!$B$6,"Strong hire",IF(M31&gt;=Settings!$B$7,"Discuss at debrief","Do not proceed")))</f>
        <v/>
      </c>
      <c r="Q31" s="24" t="str">
        <f aca="false">IF(M31="","",_xlfn.MAXIFS($M$5:$M$40,$B$5:$B$40,B31)-_xlfn.MINIFS($M$5:$M$40,$B$5:$B$40,B31))</f>
        <v/>
      </c>
      <c r="R31" s="7" t="str">
        <f aca="false">IF(Q31="","",IF(Q31&gt;Settings!$B$5,"Debrief gap","OK"))</f>
        <v/>
      </c>
    </row>
    <row r="32" customFormat="false" ht="15" hidden="false" customHeight="false" outlineLevel="0" collapsed="false">
      <c r="A32" s="13"/>
      <c r="B32" s="13"/>
      <c r="C32" s="7" t="str">
        <f aca="false">IF(B32="","",IFERROR(INDEX(Candidates!$B$5:$B$44,MATCH(B32,Candidates!$A$5:$A$44,0)),"Not found"))</f>
        <v/>
      </c>
      <c r="D32" s="13"/>
      <c r="E32" s="23"/>
      <c r="F32" s="23"/>
      <c r="G32" s="13"/>
      <c r="H32" s="13"/>
      <c r="I32" s="13"/>
      <c r="J32" s="13"/>
      <c r="K32" s="13"/>
      <c r="L32" s="13"/>
      <c r="M32" s="24" t="str">
        <f aca="false">IF(COUNT(G32:K32)=0,"",SUMPRODUCT(G32:K32,Settings!$B$12:$F$12)/SUMPRODUCT((G32:K32&lt;&gt;"")*Settings!$B$12:$F$12))</f>
        <v/>
      </c>
      <c r="N32" s="8" t="str">
        <f aca="false">IF(OR(E32="",F32=""),"",ROUND((F32-E32)*24,1))</f>
        <v/>
      </c>
      <c r="O32" s="7" t="str">
        <f aca="false">IF(N32="","",IF(N32&lt;=Settings!$B$3,"On time","Late"))</f>
        <v/>
      </c>
      <c r="P32" s="7" t="str">
        <f aca="false">IF(M32="","",IF(M32&gt;=Settings!$B$6,"Strong hire",IF(M32&gt;=Settings!$B$7,"Discuss at debrief","Do not proceed")))</f>
        <v/>
      </c>
      <c r="Q32" s="24" t="str">
        <f aca="false">IF(M32="","",_xlfn.MAXIFS($M$5:$M$40,$B$5:$B$40,B32)-_xlfn.MINIFS($M$5:$M$40,$B$5:$B$40,B32))</f>
        <v/>
      </c>
      <c r="R32" s="7" t="str">
        <f aca="false">IF(Q32="","",IF(Q32&gt;Settings!$B$5,"Debrief gap","OK"))</f>
        <v/>
      </c>
    </row>
    <row r="33" customFormat="false" ht="15" hidden="false" customHeight="false" outlineLevel="0" collapsed="false">
      <c r="A33" s="13"/>
      <c r="B33" s="13"/>
      <c r="C33" s="7" t="str">
        <f aca="false">IF(B33="","",IFERROR(INDEX(Candidates!$B$5:$B$44,MATCH(B33,Candidates!$A$5:$A$44,0)),"Not found"))</f>
        <v/>
      </c>
      <c r="D33" s="13"/>
      <c r="E33" s="23"/>
      <c r="F33" s="23"/>
      <c r="G33" s="13"/>
      <c r="H33" s="13"/>
      <c r="I33" s="13"/>
      <c r="J33" s="13"/>
      <c r="K33" s="13"/>
      <c r="L33" s="13"/>
      <c r="M33" s="24" t="str">
        <f aca="false">IF(COUNT(G33:K33)=0,"",SUMPRODUCT(G33:K33,Settings!$B$12:$F$12)/SUMPRODUCT((G33:K33&lt;&gt;"")*Settings!$B$12:$F$12))</f>
        <v/>
      </c>
      <c r="N33" s="8" t="str">
        <f aca="false">IF(OR(E33="",F33=""),"",ROUND((F33-E33)*24,1))</f>
        <v/>
      </c>
      <c r="O33" s="7" t="str">
        <f aca="false">IF(N33="","",IF(N33&lt;=Settings!$B$3,"On time","Late"))</f>
        <v/>
      </c>
      <c r="P33" s="7" t="str">
        <f aca="false">IF(M33="","",IF(M33&gt;=Settings!$B$6,"Strong hire",IF(M33&gt;=Settings!$B$7,"Discuss at debrief","Do not proceed")))</f>
        <v/>
      </c>
      <c r="Q33" s="24" t="str">
        <f aca="false">IF(M33="","",_xlfn.MAXIFS($M$5:$M$40,$B$5:$B$40,B33)-_xlfn.MINIFS($M$5:$M$40,$B$5:$B$40,B33))</f>
        <v/>
      </c>
      <c r="R33" s="7" t="str">
        <f aca="false">IF(Q33="","",IF(Q33&gt;Settings!$B$5,"Debrief gap","OK"))</f>
        <v/>
      </c>
    </row>
    <row r="34" customFormat="false" ht="15" hidden="false" customHeight="false" outlineLevel="0" collapsed="false">
      <c r="A34" s="13"/>
      <c r="B34" s="13"/>
      <c r="C34" s="7" t="str">
        <f aca="false">IF(B34="","",IFERROR(INDEX(Candidates!$B$5:$B$44,MATCH(B34,Candidates!$A$5:$A$44,0)),"Not found"))</f>
        <v/>
      </c>
      <c r="D34" s="13"/>
      <c r="E34" s="23"/>
      <c r="F34" s="23"/>
      <c r="G34" s="13"/>
      <c r="H34" s="13"/>
      <c r="I34" s="13"/>
      <c r="J34" s="13"/>
      <c r="K34" s="13"/>
      <c r="L34" s="13"/>
      <c r="M34" s="24" t="str">
        <f aca="false">IF(COUNT(G34:K34)=0,"",SUMPRODUCT(G34:K34,Settings!$B$12:$F$12)/SUMPRODUCT((G34:K34&lt;&gt;"")*Settings!$B$12:$F$12))</f>
        <v/>
      </c>
      <c r="N34" s="8" t="str">
        <f aca="false">IF(OR(E34="",F34=""),"",ROUND((F34-E34)*24,1))</f>
        <v/>
      </c>
      <c r="O34" s="7" t="str">
        <f aca="false">IF(N34="","",IF(N34&lt;=Settings!$B$3,"On time","Late"))</f>
        <v/>
      </c>
      <c r="P34" s="7" t="str">
        <f aca="false">IF(M34="","",IF(M34&gt;=Settings!$B$6,"Strong hire",IF(M34&gt;=Settings!$B$7,"Discuss at debrief","Do not proceed")))</f>
        <v/>
      </c>
      <c r="Q34" s="24" t="str">
        <f aca="false">IF(M34="","",_xlfn.MAXIFS($M$5:$M$40,$B$5:$B$40,B34)-_xlfn.MINIFS($M$5:$M$40,$B$5:$B$40,B34))</f>
        <v/>
      </c>
      <c r="R34" s="7" t="str">
        <f aca="false">IF(Q34="","",IF(Q34&gt;Settings!$B$5,"Debrief gap","OK"))</f>
        <v/>
      </c>
    </row>
    <row r="35" customFormat="false" ht="15" hidden="false" customHeight="false" outlineLevel="0" collapsed="false">
      <c r="A35" s="13"/>
      <c r="B35" s="13"/>
      <c r="C35" s="7" t="str">
        <f aca="false">IF(B35="","",IFERROR(INDEX(Candidates!$B$5:$B$44,MATCH(B35,Candidates!$A$5:$A$44,0)),"Not found"))</f>
        <v/>
      </c>
      <c r="D35" s="13"/>
      <c r="E35" s="23"/>
      <c r="F35" s="23"/>
      <c r="G35" s="13"/>
      <c r="H35" s="13"/>
      <c r="I35" s="13"/>
      <c r="J35" s="13"/>
      <c r="K35" s="13"/>
      <c r="L35" s="13"/>
      <c r="M35" s="24" t="str">
        <f aca="false">IF(COUNT(G35:K35)=0,"",SUMPRODUCT(G35:K35,Settings!$B$12:$F$12)/SUMPRODUCT((G35:K35&lt;&gt;"")*Settings!$B$12:$F$12))</f>
        <v/>
      </c>
      <c r="N35" s="8" t="str">
        <f aca="false">IF(OR(E35="",F35=""),"",ROUND((F35-E35)*24,1))</f>
        <v/>
      </c>
      <c r="O35" s="7" t="str">
        <f aca="false">IF(N35="","",IF(N35&lt;=Settings!$B$3,"On time","Late"))</f>
        <v/>
      </c>
      <c r="P35" s="7" t="str">
        <f aca="false">IF(M35="","",IF(M35&gt;=Settings!$B$6,"Strong hire",IF(M35&gt;=Settings!$B$7,"Discuss at debrief","Do not proceed")))</f>
        <v/>
      </c>
      <c r="Q35" s="24" t="str">
        <f aca="false">IF(M35="","",_xlfn.MAXIFS($M$5:$M$40,$B$5:$B$40,B35)-_xlfn.MINIFS($M$5:$M$40,$B$5:$B$40,B35))</f>
        <v/>
      </c>
      <c r="R35" s="7" t="str">
        <f aca="false">IF(Q35="","",IF(Q35&gt;Settings!$B$5,"Debrief gap","OK"))</f>
        <v/>
      </c>
    </row>
    <row r="36" customFormat="false" ht="15" hidden="false" customHeight="false" outlineLevel="0" collapsed="false">
      <c r="A36" s="13"/>
      <c r="B36" s="13"/>
      <c r="C36" s="7" t="str">
        <f aca="false">IF(B36="","",IFERROR(INDEX(Candidates!$B$5:$B$44,MATCH(B36,Candidates!$A$5:$A$44,0)),"Not found"))</f>
        <v/>
      </c>
      <c r="D36" s="13"/>
      <c r="E36" s="23"/>
      <c r="F36" s="23"/>
      <c r="G36" s="13"/>
      <c r="H36" s="13"/>
      <c r="I36" s="13"/>
      <c r="J36" s="13"/>
      <c r="K36" s="13"/>
      <c r="L36" s="13"/>
      <c r="M36" s="24" t="str">
        <f aca="false">IF(COUNT(G36:K36)=0,"",SUMPRODUCT(G36:K36,Settings!$B$12:$F$12)/SUMPRODUCT((G36:K36&lt;&gt;"")*Settings!$B$12:$F$12))</f>
        <v/>
      </c>
      <c r="N36" s="8" t="str">
        <f aca="false">IF(OR(E36="",F36=""),"",ROUND((F36-E36)*24,1))</f>
        <v/>
      </c>
      <c r="O36" s="7" t="str">
        <f aca="false">IF(N36="","",IF(N36&lt;=Settings!$B$3,"On time","Late"))</f>
        <v/>
      </c>
      <c r="P36" s="7" t="str">
        <f aca="false">IF(M36="","",IF(M36&gt;=Settings!$B$6,"Strong hire",IF(M36&gt;=Settings!$B$7,"Discuss at debrief","Do not proceed")))</f>
        <v/>
      </c>
      <c r="Q36" s="24" t="str">
        <f aca="false">IF(M36="","",_xlfn.MAXIFS($M$5:$M$40,$B$5:$B$40,B36)-_xlfn.MINIFS($M$5:$M$40,$B$5:$B$40,B36))</f>
        <v/>
      </c>
      <c r="R36" s="7" t="str">
        <f aca="false">IF(Q36="","",IF(Q36&gt;Settings!$B$5,"Debrief gap","OK"))</f>
        <v/>
      </c>
    </row>
    <row r="37" customFormat="false" ht="15" hidden="false" customHeight="false" outlineLevel="0" collapsed="false">
      <c r="A37" s="13"/>
      <c r="B37" s="13"/>
      <c r="C37" s="7" t="str">
        <f aca="false">IF(B37="","",IFERROR(INDEX(Candidates!$B$5:$B$44,MATCH(B37,Candidates!$A$5:$A$44,0)),"Not found"))</f>
        <v/>
      </c>
      <c r="D37" s="13"/>
      <c r="E37" s="23"/>
      <c r="F37" s="23"/>
      <c r="G37" s="13"/>
      <c r="H37" s="13"/>
      <c r="I37" s="13"/>
      <c r="J37" s="13"/>
      <c r="K37" s="13"/>
      <c r="L37" s="13"/>
      <c r="M37" s="24" t="str">
        <f aca="false">IF(COUNT(G37:K37)=0,"",SUMPRODUCT(G37:K37,Settings!$B$12:$F$12)/SUMPRODUCT((G37:K37&lt;&gt;"")*Settings!$B$12:$F$12))</f>
        <v/>
      </c>
      <c r="N37" s="8" t="str">
        <f aca="false">IF(OR(E37="",F37=""),"",ROUND((F37-E37)*24,1))</f>
        <v/>
      </c>
      <c r="O37" s="7" t="str">
        <f aca="false">IF(N37="","",IF(N37&lt;=Settings!$B$3,"On time","Late"))</f>
        <v/>
      </c>
      <c r="P37" s="7" t="str">
        <f aca="false">IF(M37="","",IF(M37&gt;=Settings!$B$6,"Strong hire",IF(M37&gt;=Settings!$B$7,"Discuss at debrief","Do not proceed")))</f>
        <v/>
      </c>
      <c r="Q37" s="24" t="str">
        <f aca="false">IF(M37="","",_xlfn.MAXIFS($M$5:$M$40,$B$5:$B$40,B37)-_xlfn.MINIFS($M$5:$M$40,$B$5:$B$40,B37))</f>
        <v/>
      </c>
      <c r="R37" s="7" t="str">
        <f aca="false">IF(Q37="","",IF(Q37&gt;Settings!$B$5,"Debrief gap","OK"))</f>
        <v/>
      </c>
    </row>
    <row r="38" customFormat="false" ht="15" hidden="false" customHeight="false" outlineLevel="0" collapsed="false">
      <c r="A38" s="13"/>
      <c r="B38" s="13"/>
      <c r="C38" s="7" t="str">
        <f aca="false">IF(B38="","",IFERROR(INDEX(Candidates!$B$5:$B$44,MATCH(B38,Candidates!$A$5:$A$44,0)),"Not found"))</f>
        <v/>
      </c>
      <c r="D38" s="13"/>
      <c r="E38" s="23"/>
      <c r="F38" s="23"/>
      <c r="G38" s="13"/>
      <c r="H38" s="13"/>
      <c r="I38" s="13"/>
      <c r="J38" s="13"/>
      <c r="K38" s="13"/>
      <c r="L38" s="13"/>
      <c r="M38" s="24" t="str">
        <f aca="false">IF(COUNT(G38:K38)=0,"",SUMPRODUCT(G38:K38,Settings!$B$12:$F$12)/SUMPRODUCT((G38:K38&lt;&gt;"")*Settings!$B$12:$F$12))</f>
        <v/>
      </c>
      <c r="N38" s="8" t="str">
        <f aca="false">IF(OR(E38="",F38=""),"",ROUND((F38-E38)*24,1))</f>
        <v/>
      </c>
      <c r="O38" s="7" t="str">
        <f aca="false">IF(N38="","",IF(N38&lt;=Settings!$B$3,"On time","Late"))</f>
        <v/>
      </c>
      <c r="P38" s="7" t="str">
        <f aca="false">IF(M38="","",IF(M38&gt;=Settings!$B$6,"Strong hire",IF(M38&gt;=Settings!$B$7,"Discuss at debrief","Do not proceed")))</f>
        <v/>
      </c>
      <c r="Q38" s="24" t="str">
        <f aca="false">IF(M38="","",_xlfn.MAXIFS($M$5:$M$40,$B$5:$B$40,B38)-_xlfn.MINIFS($M$5:$M$40,$B$5:$B$40,B38))</f>
        <v/>
      </c>
      <c r="R38" s="7" t="str">
        <f aca="false">IF(Q38="","",IF(Q38&gt;Settings!$B$5,"Debrief gap","OK"))</f>
        <v/>
      </c>
    </row>
    <row r="39" customFormat="false" ht="15" hidden="false" customHeight="false" outlineLevel="0" collapsed="false">
      <c r="A39" s="13"/>
      <c r="B39" s="13"/>
      <c r="C39" s="7" t="str">
        <f aca="false">IF(B39="","",IFERROR(INDEX(Candidates!$B$5:$B$44,MATCH(B39,Candidates!$A$5:$A$44,0)),"Not found"))</f>
        <v/>
      </c>
      <c r="D39" s="13"/>
      <c r="E39" s="23"/>
      <c r="F39" s="23"/>
      <c r="G39" s="13"/>
      <c r="H39" s="13"/>
      <c r="I39" s="13"/>
      <c r="J39" s="13"/>
      <c r="K39" s="13"/>
      <c r="L39" s="13"/>
      <c r="M39" s="24" t="str">
        <f aca="false">IF(COUNT(G39:K39)=0,"",SUMPRODUCT(G39:K39,Settings!$B$12:$F$12)/SUMPRODUCT((G39:K39&lt;&gt;"")*Settings!$B$12:$F$12))</f>
        <v/>
      </c>
      <c r="N39" s="8" t="str">
        <f aca="false">IF(OR(E39="",F39=""),"",ROUND((F39-E39)*24,1))</f>
        <v/>
      </c>
      <c r="O39" s="7" t="str">
        <f aca="false">IF(N39="","",IF(N39&lt;=Settings!$B$3,"On time","Late"))</f>
        <v/>
      </c>
      <c r="P39" s="7" t="str">
        <f aca="false">IF(M39="","",IF(M39&gt;=Settings!$B$6,"Strong hire",IF(M39&gt;=Settings!$B$7,"Discuss at debrief","Do not proceed")))</f>
        <v/>
      </c>
      <c r="Q39" s="24" t="str">
        <f aca="false">IF(M39="","",_xlfn.MAXIFS($M$5:$M$40,$B$5:$B$40,B39)-_xlfn.MINIFS($M$5:$M$40,$B$5:$B$40,B39))</f>
        <v/>
      </c>
      <c r="R39" s="7" t="str">
        <f aca="false">IF(Q39="","",IF(Q39&gt;Settings!$B$5,"Debrief gap","OK"))</f>
        <v/>
      </c>
    </row>
    <row r="40" customFormat="false" ht="15" hidden="false" customHeight="false" outlineLevel="0" collapsed="false">
      <c r="A40" s="13"/>
      <c r="B40" s="13"/>
      <c r="C40" s="7" t="str">
        <f aca="false">IF(B40="","",IFERROR(INDEX(Candidates!$B$5:$B$44,MATCH(B40,Candidates!$A$5:$A$44,0)),"Not found"))</f>
        <v/>
      </c>
      <c r="D40" s="13"/>
      <c r="E40" s="23"/>
      <c r="F40" s="23"/>
      <c r="G40" s="13"/>
      <c r="H40" s="13"/>
      <c r="I40" s="13"/>
      <c r="J40" s="13"/>
      <c r="K40" s="13"/>
      <c r="L40" s="13"/>
      <c r="M40" s="24" t="str">
        <f aca="false">IF(COUNT(G40:K40)=0,"",SUMPRODUCT(G40:K40,Settings!$B$12:$F$12)/SUMPRODUCT((G40:K40&lt;&gt;"")*Settings!$B$12:$F$12))</f>
        <v/>
      </c>
      <c r="N40" s="8" t="str">
        <f aca="false">IF(OR(E40="",F40=""),"",ROUND((F40-E40)*24,1))</f>
        <v/>
      </c>
      <c r="O40" s="7" t="str">
        <f aca="false">IF(N40="","",IF(N40&lt;=Settings!$B$3,"On time","Late"))</f>
        <v/>
      </c>
      <c r="P40" s="7" t="str">
        <f aca="false">IF(M40="","",IF(M40&gt;=Settings!$B$6,"Strong hire",IF(M40&gt;=Settings!$B$7,"Discuss at debrief","Do not proceed")))</f>
        <v/>
      </c>
      <c r="Q40" s="24" t="str">
        <f aca="false">IF(M40="","",_xlfn.MAXIFS($M$5:$M$40,$B$5:$B$40,B40)-_xlfn.MINIFS($M$5:$M$40,$B$5:$B$40,B40))</f>
        <v/>
      </c>
      <c r="R40" s="7" t="str">
        <f aca="false">IF(Q40="","",IF(Q40&gt;Settings!$B$5,"Debrief gap","OK"))</f>
        <v/>
      </c>
    </row>
  </sheetData>
  <conditionalFormatting sqref="O5:O40">
    <cfRule type="cellIs" priority="2" operator="equal" aboveAverage="0" equalAverage="0" bottom="0" percent="0" rank="0" text="" dxfId="0">
      <formula>"On time"</formula>
    </cfRule>
    <cfRule type="cellIs" priority="3" operator="equal" aboveAverage="0" equalAverage="0" bottom="0" percent="0" rank="0" text="" dxfId="1">
      <formula>"Late"</formula>
    </cfRule>
  </conditionalFormatting>
  <conditionalFormatting sqref="R5:R40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"Debrief gap"</formula>
    </cfRule>
  </conditionalFormatting>
  <dataValidations count="2">
    <dataValidation allowBlank="true" error="Enter a rating from 1 to 5" errorStyle="stop" operator="between" showDropDown="false" showErrorMessage="true" showInputMessage="false" sqref="G5:K40" type="whole">
      <formula1>1</formula1>
      <formula2>5</formula2>
    </dataValidation>
    <dataValidation allowBlank="true" errorStyle="stop" operator="between" showDropDown="false" showErrorMessage="false" showInputMessage="false" sqref="L5:L4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7"/>
  </cols>
  <sheetData>
    <row r="1" customFormat="false" ht="17.35" hidden="false" customHeight="false" outlineLevel="0" collapsed="false">
      <c r="A1" s="1" t="s">
        <v>163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5" t="s">
        <v>164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1.5" hidden="false" customHeight="true" outlineLevel="0" collapsed="false">
      <c r="A4" s="6" t="s">
        <v>83</v>
      </c>
      <c r="B4" s="6" t="s">
        <v>82</v>
      </c>
      <c r="C4" s="6" t="s">
        <v>165</v>
      </c>
      <c r="D4" s="6" t="s">
        <v>166</v>
      </c>
      <c r="E4" s="6" t="s">
        <v>167</v>
      </c>
      <c r="F4" s="6" t="s">
        <v>28</v>
      </c>
      <c r="G4" s="6" t="s">
        <v>168</v>
      </c>
    </row>
    <row r="5" customFormat="false" ht="15" hidden="false" customHeight="false" outlineLevel="0" collapsed="false">
      <c r="A5" s="13" t="s">
        <v>169</v>
      </c>
      <c r="B5" s="13" t="s">
        <v>118</v>
      </c>
      <c r="C5" s="25" t="n">
        <v>45669</v>
      </c>
      <c r="D5" s="25" t="n">
        <v>45721</v>
      </c>
      <c r="E5" s="17" t="n">
        <f aca="false">D5-C5</f>
        <v>52</v>
      </c>
      <c r="F5" s="13" t="s">
        <v>96</v>
      </c>
      <c r="G5" s="13" t="s">
        <v>149</v>
      </c>
    </row>
    <row r="6" customFormat="false" ht="15" hidden="false" customHeight="false" outlineLevel="0" collapsed="false">
      <c r="A6" s="13" t="s">
        <v>170</v>
      </c>
      <c r="B6" s="13" t="s">
        <v>171</v>
      </c>
      <c r="C6" s="25" t="n">
        <v>45683</v>
      </c>
      <c r="D6" s="25" t="n">
        <v>45721</v>
      </c>
      <c r="E6" s="17" t="n">
        <f aca="false">D6-C6</f>
        <v>38</v>
      </c>
      <c r="F6" s="13" t="s">
        <v>104</v>
      </c>
      <c r="G6" s="13" t="s">
        <v>149</v>
      </c>
    </row>
    <row r="7" customFormat="false" ht="15" hidden="false" customHeight="false" outlineLevel="0" collapsed="false">
      <c r="A7" s="13" t="s">
        <v>172</v>
      </c>
      <c r="B7" s="13" t="s">
        <v>123</v>
      </c>
      <c r="C7" s="25" t="n">
        <v>45697</v>
      </c>
      <c r="D7" s="25" t="n">
        <v>45744</v>
      </c>
      <c r="E7" s="17" t="n">
        <f aca="false">D7-C7</f>
        <v>47</v>
      </c>
      <c r="F7" s="13" t="s">
        <v>100</v>
      </c>
      <c r="G7" s="13" t="s">
        <v>157</v>
      </c>
    </row>
    <row r="8" customFormat="false" ht="15" hidden="false" customHeight="false" outlineLevel="0" collapsed="false">
      <c r="A8" s="13" t="s">
        <v>173</v>
      </c>
      <c r="B8" s="13" t="s">
        <v>174</v>
      </c>
      <c r="C8" s="25" t="n">
        <v>45711</v>
      </c>
      <c r="D8" s="25" t="n">
        <v>45752</v>
      </c>
      <c r="E8" s="17" t="n">
        <f aca="false">D8-C8</f>
        <v>41</v>
      </c>
      <c r="F8" s="13" t="s">
        <v>96</v>
      </c>
      <c r="G8" s="13" t="s">
        <v>149</v>
      </c>
    </row>
    <row r="9" customFormat="false" ht="15" hidden="false" customHeight="false" outlineLevel="0" collapsed="false">
      <c r="A9" s="13" t="s">
        <v>175</v>
      </c>
      <c r="B9" s="13" t="s">
        <v>176</v>
      </c>
      <c r="C9" s="25" t="n">
        <v>45718</v>
      </c>
      <c r="D9" s="25" t="n">
        <v>45773</v>
      </c>
      <c r="E9" s="17" t="n">
        <f aca="false">D9-C9</f>
        <v>55</v>
      </c>
      <c r="F9" s="13" t="s">
        <v>100</v>
      </c>
      <c r="G9" s="13" t="s">
        <v>149</v>
      </c>
    </row>
    <row r="10" customFormat="false" ht="15" hidden="false" customHeight="false" outlineLevel="0" collapsed="false">
      <c r="A10" s="13" t="s">
        <v>177</v>
      </c>
      <c r="B10" s="13" t="s">
        <v>94</v>
      </c>
      <c r="C10" s="25" t="n">
        <v>45732</v>
      </c>
      <c r="D10" s="25" t="n">
        <v>45768</v>
      </c>
      <c r="E10" s="17" t="n">
        <f aca="false">D10-C10</f>
        <v>36</v>
      </c>
      <c r="F10" s="13" t="s">
        <v>81</v>
      </c>
      <c r="G10" s="13" t="s">
        <v>157</v>
      </c>
    </row>
    <row r="11" customFormat="false" ht="15" hidden="false" customHeight="false" outlineLevel="0" collapsed="false">
      <c r="A11" s="13" t="s">
        <v>178</v>
      </c>
      <c r="B11" s="13" t="s">
        <v>179</v>
      </c>
      <c r="C11" s="25" t="n">
        <v>45753</v>
      </c>
      <c r="D11" s="25" t="n">
        <v>45802</v>
      </c>
      <c r="E11" s="17" t="n">
        <f aca="false">D11-C11</f>
        <v>49</v>
      </c>
      <c r="F11" s="13" t="s">
        <v>104</v>
      </c>
      <c r="G11" s="13" t="s">
        <v>149</v>
      </c>
    </row>
    <row r="12" customFormat="false" ht="15" hidden="false" customHeight="false" outlineLevel="0" collapsed="false">
      <c r="A12" s="13" t="s">
        <v>180</v>
      </c>
      <c r="B12" s="13" t="s">
        <v>181</v>
      </c>
      <c r="C12" s="25" t="n">
        <v>45767</v>
      </c>
      <c r="D12" s="25" t="n">
        <v>45810</v>
      </c>
      <c r="E12" s="17" t="n">
        <f aca="false">D12-C12</f>
        <v>43</v>
      </c>
      <c r="F12" s="13" t="s">
        <v>96</v>
      </c>
      <c r="G12" s="13" t="s">
        <v>149</v>
      </c>
    </row>
    <row r="13" customFormat="false" ht="15" hidden="false" customHeight="false" outlineLevel="0" collapsed="false">
      <c r="A13" s="13" t="s">
        <v>182</v>
      </c>
      <c r="B13" s="13" t="s">
        <v>123</v>
      </c>
      <c r="C13" s="25" t="n">
        <v>45781</v>
      </c>
      <c r="D13" s="25" t="n">
        <v>45814</v>
      </c>
      <c r="E13" s="17" t="n">
        <f aca="false">D13-C13</f>
        <v>33</v>
      </c>
      <c r="F13" s="13" t="s">
        <v>100</v>
      </c>
      <c r="G13" s="13" t="s">
        <v>157</v>
      </c>
    </row>
    <row r="14" customFormat="false" ht="15" hidden="false" customHeight="false" outlineLevel="0" collapsed="false">
      <c r="A14" s="13" t="s">
        <v>183</v>
      </c>
      <c r="B14" s="13" t="s">
        <v>94</v>
      </c>
      <c r="C14" s="25" t="n">
        <v>45795</v>
      </c>
      <c r="D14" s="25" t="n">
        <v>45851</v>
      </c>
      <c r="E14" s="17" t="n">
        <f aca="false">D14-C14</f>
        <v>56</v>
      </c>
      <c r="F14" s="13" t="s">
        <v>81</v>
      </c>
      <c r="G14" s="13" t="s">
        <v>149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3" t="s">
        <v>184</v>
      </c>
      <c r="B16" s="2"/>
      <c r="C16" s="2"/>
      <c r="D16" s="2"/>
      <c r="E16" s="26" t="n">
        <f aca="false">AVERAGE(E5:E14)</f>
        <v>45</v>
      </c>
      <c r="F16" s="2"/>
      <c r="G16" s="2"/>
    </row>
    <row r="17" customFormat="false" ht="15" hidden="false" customHeight="false" outlineLevel="0" collapsed="false">
      <c r="A17" s="3" t="s">
        <v>31</v>
      </c>
      <c r="B17" s="2"/>
      <c r="C17" s="2"/>
      <c r="D17" s="2"/>
      <c r="E17" s="27" t="n">
        <f aca="false">COUNTIF(G5:G14,"Yes")/COUNTA(G5:G14)</f>
        <v>0.7</v>
      </c>
      <c r="F17" s="2"/>
      <c r="G17" s="2"/>
    </row>
    <row r="18" customFormat="false" ht="15" hidden="false" customHeight="false" outlineLevel="0" collapsed="false">
      <c r="A18" s="3" t="s">
        <v>185</v>
      </c>
      <c r="B18" s="2"/>
      <c r="C18" s="2"/>
      <c r="D18" s="2"/>
      <c r="E18" s="3" t="n">
        <f aca="false">COUNTA(A5:A14)</f>
        <v>10</v>
      </c>
      <c r="F18" s="2"/>
      <c r="G18" s="2"/>
    </row>
  </sheetData>
  <conditionalFormatting sqref="G5:G14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5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1.5" hidden="false" customHeight="true" outlineLevel="0" collapsed="false">
      <c r="A4" s="6" t="s">
        <v>188</v>
      </c>
      <c r="B4" s="6" t="s">
        <v>82</v>
      </c>
      <c r="C4" s="6" t="s">
        <v>189</v>
      </c>
      <c r="D4" s="6" t="s">
        <v>190</v>
      </c>
      <c r="E4" s="6" t="s">
        <v>191</v>
      </c>
      <c r="F4" s="6" t="s">
        <v>192</v>
      </c>
      <c r="G4" s="6" t="s">
        <v>193</v>
      </c>
      <c r="H4" s="6" t="s">
        <v>194</v>
      </c>
      <c r="I4" s="6" t="s">
        <v>195</v>
      </c>
      <c r="J4" s="6" t="s">
        <v>196</v>
      </c>
      <c r="K4" s="6" t="s">
        <v>197</v>
      </c>
      <c r="L4" s="6" t="s">
        <v>198</v>
      </c>
    </row>
    <row r="5" customFormat="false" ht="15" hidden="false" customHeight="false" outlineLevel="0" collapsed="false">
      <c r="A5" s="13" t="s">
        <v>199</v>
      </c>
      <c r="B5" s="13" t="s">
        <v>94</v>
      </c>
      <c r="C5" s="25" t="n">
        <v>46314</v>
      </c>
      <c r="D5" s="13" t="n">
        <v>10</v>
      </c>
      <c r="E5" s="13" t="s">
        <v>149</v>
      </c>
      <c r="F5" s="13" t="s">
        <v>149</v>
      </c>
      <c r="G5" s="13" t="s">
        <v>149</v>
      </c>
      <c r="H5" s="13" t="n">
        <v>5</v>
      </c>
      <c r="I5" s="13" t="n">
        <v>5</v>
      </c>
      <c r="J5" s="11" t="n">
        <f aca="false">IF(I5=0,"",H5/I5)</f>
        <v>1</v>
      </c>
      <c r="K5" s="7" t="str">
        <f aca="false">IF(AND(D5&gt;=10,H5&lt;I5),"Send reminder","OK")</f>
        <v>OK</v>
      </c>
      <c r="L5" s="7" t="str">
        <f aca="false">IF(H5&gt;=I5,"Complete",IF(D5&gt;=14,"Overdue","In progress"))</f>
        <v>Complete</v>
      </c>
    </row>
    <row r="6" customFormat="false" ht="15" hidden="false" customHeight="false" outlineLevel="0" collapsed="false">
      <c r="A6" s="13" t="s">
        <v>200</v>
      </c>
      <c r="B6" s="13" t="s">
        <v>118</v>
      </c>
      <c r="C6" s="25" t="n">
        <v>46314</v>
      </c>
      <c r="D6" s="13" t="n">
        <v>10</v>
      </c>
      <c r="E6" s="13" t="s">
        <v>149</v>
      </c>
      <c r="F6" s="13" t="s">
        <v>149</v>
      </c>
      <c r="G6" s="13" t="s">
        <v>149</v>
      </c>
      <c r="H6" s="13" t="n">
        <v>4</v>
      </c>
      <c r="I6" s="13" t="n">
        <v>5</v>
      </c>
      <c r="J6" s="11" t="n">
        <f aca="false">IF(I6=0,"",H6/I6)</f>
        <v>0.8</v>
      </c>
      <c r="K6" s="7" t="str">
        <f aca="false">IF(AND(D6&gt;=10,H6&lt;I6),"Send reminder","OK")</f>
        <v>Send reminder</v>
      </c>
      <c r="L6" s="7" t="str">
        <f aca="false">IF(H6&gt;=I6,"Complete",IF(D6&gt;=14,"Overdue","In progress"))</f>
        <v>In progress</v>
      </c>
    </row>
    <row r="7" customFormat="false" ht="15" hidden="false" customHeight="false" outlineLevel="0" collapsed="false">
      <c r="A7" s="13" t="s">
        <v>201</v>
      </c>
      <c r="B7" s="13" t="s">
        <v>123</v>
      </c>
      <c r="C7" s="25" t="n">
        <v>46314</v>
      </c>
      <c r="D7" s="13" t="n">
        <v>10</v>
      </c>
      <c r="E7" s="13" t="s">
        <v>149</v>
      </c>
      <c r="F7" s="13" t="s">
        <v>149</v>
      </c>
      <c r="G7" s="13" t="s">
        <v>149</v>
      </c>
      <c r="H7" s="13" t="n">
        <v>5</v>
      </c>
      <c r="I7" s="13" t="n">
        <v>5</v>
      </c>
      <c r="J7" s="11" t="n">
        <f aca="false">IF(I7=0,"",H7/I7)</f>
        <v>1</v>
      </c>
      <c r="K7" s="7" t="str">
        <f aca="false">IF(AND(D7&gt;=10,H7&lt;I7),"Send reminder","OK")</f>
        <v>OK</v>
      </c>
      <c r="L7" s="7" t="str">
        <f aca="false">IF(H7&gt;=I7,"Complete",IF(D7&gt;=14,"Overdue","In progress"))</f>
        <v>Complete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1" t="str">
        <f aca="false">IF(OR(I8="",I8=0),"",H8/I8)</f>
        <v/>
      </c>
      <c r="K8" s="7" t="str">
        <f aca="false">IF(A8="","",IF(AND(D8&gt;=10,H8&lt;I8),"Send reminder","OK"))</f>
        <v/>
      </c>
      <c r="L8" s="7" t="str">
        <f aca="false">IF(A8="","",IF(H8&gt;=I8,"Complete",IF(D8&gt;=14,"Overdue","In progress")))</f>
        <v/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1" t="str">
        <f aca="false">IF(OR(I9="",I9=0),"",H9/I9)</f>
        <v/>
      </c>
      <c r="K9" s="7" t="str">
        <f aca="false">IF(A9="","",IF(AND(D9&gt;=10,H9&lt;I9),"Send reminder","OK"))</f>
        <v/>
      </c>
      <c r="L9" s="7" t="str">
        <f aca="false">IF(A9="","",IF(H9&gt;=I9,"Complete",IF(D9&gt;=14,"Overdue","In progress")))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1" t="str">
        <f aca="false">IF(OR(I10="",I10=0),"",H10/I10)</f>
        <v/>
      </c>
      <c r="K10" s="7" t="str">
        <f aca="false">IF(A10="","",IF(AND(D10&gt;=10,H10&lt;I10),"Send reminder","OK"))</f>
        <v/>
      </c>
      <c r="L10" s="7" t="str">
        <f aca="false">IF(A10="","",IF(H10&gt;=I10,"Complete",IF(D10&gt;=14,"Overdue","In progress")))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1" t="str">
        <f aca="false">IF(OR(I11="",I11=0),"",H11/I11)</f>
        <v/>
      </c>
      <c r="K11" s="7" t="str">
        <f aca="false">IF(A11="","",IF(AND(D11&gt;=10,H11&lt;I11),"Send reminder","OK"))</f>
        <v/>
      </c>
      <c r="L11" s="7" t="str">
        <f aca="false">IF(A11="","",IF(H11&gt;=I11,"Complete",IF(D11&gt;=14,"Overdue","In progress")))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1" t="str">
        <f aca="false">IF(OR(I12="",I12=0),"",H12/I12)</f>
        <v/>
      </c>
      <c r="K12" s="7" t="str">
        <f aca="false">IF(A12="","",IF(AND(D12&gt;=10,H12&lt;I12),"Send reminder","OK"))</f>
        <v/>
      </c>
      <c r="L12" s="7" t="str">
        <f aca="false">IF(A12="","",IF(H12&gt;=I12,"Complete",IF(D12&gt;=14,"Overdue","In progress")))</f>
        <v/>
      </c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1" t="str">
        <f aca="false">IF(OR(I13="",I13=0),"",H13/I13)</f>
        <v/>
      </c>
      <c r="K13" s="7" t="str">
        <f aca="false">IF(A13="","",IF(AND(D13&gt;=10,H13&lt;I13),"Send reminder","OK"))</f>
        <v/>
      </c>
      <c r="L13" s="7" t="str">
        <f aca="false">IF(A13="","",IF(H13&gt;=I13,"Complete",IF(D13&gt;=14,"Overdue","In progress")))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1" t="str">
        <f aca="false">IF(OR(I14="",I14=0),"",H14/I14)</f>
        <v/>
      </c>
      <c r="K14" s="7" t="str">
        <f aca="false">IF(A14="","",IF(AND(D14&gt;=10,H14&lt;I14),"Send reminder","OK"))</f>
        <v/>
      </c>
      <c r="L14" s="7" t="str">
        <f aca="false">IF(A14="","",IF(H14&gt;=I14,"Complete",IF(D14&gt;=14,"Overdue","In progress")))</f>
        <v/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3" t="s">
        <v>202</v>
      </c>
      <c r="B16" s="2"/>
      <c r="C16" s="2"/>
      <c r="D16" s="2"/>
      <c r="E16" s="2"/>
      <c r="F16" s="2"/>
      <c r="G16" s="2"/>
      <c r="H16" s="2"/>
      <c r="I16" s="2"/>
      <c r="J16" s="28" t="n">
        <f aca="false">AVERAGE(J5:J14)</f>
        <v>0.933333333333333</v>
      </c>
      <c r="K16" s="2"/>
      <c r="L16" s="2"/>
    </row>
  </sheetData>
  <conditionalFormatting sqref="K5:K1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"Send reminder"</formula>
    </cfRule>
  </conditionalFormatting>
  <dataValidations count="1">
    <dataValidation allowBlank="true" errorStyle="stop" operator="between" showDropDown="false" showErrorMessage="false" showInputMessage="false" sqref="E5:G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203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204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6" t="s">
        <v>205</v>
      </c>
      <c r="B4" s="6" t="s">
        <v>206</v>
      </c>
      <c r="C4" s="6" t="s">
        <v>25</v>
      </c>
      <c r="D4" s="6" t="s">
        <v>207</v>
      </c>
      <c r="E4" s="6" t="s">
        <v>208</v>
      </c>
      <c r="F4" s="6" t="s">
        <v>209</v>
      </c>
      <c r="G4" s="6" t="s">
        <v>210</v>
      </c>
      <c r="H4" s="6" t="s">
        <v>211</v>
      </c>
    </row>
    <row r="5" customFormat="false" ht="15" hidden="false" customHeight="false" outlineLevel="0" collapsed="false">
      <c r="A5" s="13" t="s">
        <v>212</v>
      </c>
      <c r="B5" s="13" t="s">
        <v>213</v>
      </c>
      <c r="C5" s="12" t="n">
        <v>0.95</v>
      </c>
      <c r="D5" s="13" t="n">
        <v>24</v>
      </c>
      <c r="E5" s="13" t="n">
        <v>23</v>
      </c>
      <c r="F5" s="16" t="n">
        <f aca="false">IF(D5=0,"",E5/D5)</f>
        <v>0.958333333333333</v>
      </c>
      <c r="G5" s="7" t="str">
        <f aca="false">IF(F5="","",IF(F5&gt;=C5,"Yes","No"))</f>
        <v>Yes</v>
      </c>
      <c r="H5" s="13" t="s">
        <v>149</v>
      </c>
    </row>
    <row r="6" customFormat="false" ht="15" hidden="false" customHeight="false" outlineLevel="0" collapsed="false">
      <c r="A6" s="13" t="s">
        <v>214</v>
      </c>
      <c r="B6" s="13" t="s">
        <v>215</v>
      </c>
      <c r="C6" s="12" t="n">
        <v>1</v>
      </c>
      <c r="D6" s="13" t="n">
        <v>3</v>
      </c>
      <c r="E6" s="13" t="n">
        <v>3</v>
      </c>
      <c r="F6" s="16" t="n">
        <f aca="false">IF(D6=0,"",E6/D6)</f>
        <v>1</v>
      </c>
      <c r="G6" s="7" t="str">
        <f aca="false">IF(F6="","",IF(F6&gt;=C6,"Yes","No"))</f>
        <v>Yes</v>
      </c>
      <c r="H6" s="13" t="s">
        <v>157</v>
      </c>
    </row>
    <row r="7" customFormat="false" ht="15" hidden="false" customHeight="false" outlineLevel="0" collapsed="false">
      <c r="A7" s="13" t="s">
        <v>216</v>
      </c>
      <c r="B7" s="13" t="s">
        <v>217</v>
      </c>
      <c r="C7" s="12" t="n">
        <v>0.9</v>
      </c>
      <c r="D7" s="13" t="n">
        <v>21</v>
      </c>
      <c r="E7" s="13" t="n">
        <v>19</v>
      </c>
      <c r="F7" s="16" t="n">
        <f aca="false">IF(D7=0,"",E7/D7)</f>
        <v>0.904761904761905</v>
      </c>
      <c r="G7" s="7" t="str">
        <f aca="false">IF(F7="","",IF(F7&gt;=C7,"Yes","No"))</f>
        <v>Yes</v>
      </c>
      <c r="H7" s="13" t="s">
        <v>149</v>
      </c>
    </row>
    <row r="8" customFormat="false" ht="15" hidden="false" customHeight="false" outlineLevel="0" collapsed="false">
      <c r="A8" s="13" t="s">
        <v>218</v>
      </c>
      <c r="B8" s="13" t="s">
        <v>219</v>
      </c>
      <c r="C8" s="12" t="n">
        <v>0.9</v>
      </c>
      <c r="D8" s="13" t="n">
        <v>10</v>
      </c>
      <c r="E8" s="13" t="n">
        <v>8</v>
      </c>
      <c r="F8" s="16" t="n">
        <f aca="false">IF(D8=0,"",E8/D8)</f>
        <v>0.8</v>
      </c>
      <c r="G8" s="7" t="str">
        <f aca="false">IF(F8="","",IF(F8&gt;=C8,"Yes","No"))</f>
        <v>No</v>
      </c>
      <c r="H8" s="13" t="s">
        <v>149</v>
      </c>
    </row>
    <row r="9" customFormat="false" ht="15" hidden="false" customHeight="false" outlineLevel="0" collapsed="false">
      <c r="A9" s="13" t="s">
        <v>220</v>
      </c>
      <c r="B9" s="13" t="s">
        <v>221</v>
      </c>
      <c r="C9" s="12" t="n">
        <v>0.9</v>
      </c>
      <c r="D9" s="13" t="n">
        <v>10</v>
      </c>
      <c r="E9" s="13" t="n">
        <v>9</v>
      </c>
      <c r="F9" s="16" t="n">
        <f aca="false">IF(D9=0,"",E9/D9)</f>
        <v>0.9</v>
      </c>
      <c r="G9" s="7" t="str">
        <f aca="false">IF(F9="","",IF(F9&gt;=C9,"Yes","No"))</f>
        <v>Yes</v>
      </c>
      <c r="H9" s="13" t="s">
        <v>157</v>
      </c>
    </row>
    <row r="10" customFormat="false" ht="15" hidden="false" customHeight="false" outlineLevel="0" collapsed="false">
      <c r="A10" s="13" t="s">
        <v>222</v>
      </c>
      <c r="B10" s="13" t="s">
        <v>223</v>
      </c>
      <c r="C10" s="12" t="n">
        <v>0.9</v>
      </c>
      <c r="D10" s="13" t="n">
        <v>2</v>
      </c>
      <c r="E10" s="13" t="n">
        <v>2</v>
      </c>
      <c r="F10" s="16" t="n">
        <f aca="false">IF(D10=0,"",E10/D10)</f>
        <v>1</v>
      </c>
      <c r="G10" s="7" t="str">
        <f aca="false">IF(F10="","",IF(F10&gt;=C10,"Yes","No"))</f>
        <v>Yes</v>
      </c>
      <c r="H10" s="13" t="s">
        <v>149</v>
      </c>
    </row>
    <row r="11" customFormat="false" ht="15" hidden="false" customHeight="false" outlineLevel="0" collapsed="false">
      <c r="A11" s="13" t="s">
        <v>224</v>
      </c>
      <c r="B11" s="13" t="s">
        <v>225</v>
      </c>
      <c r="C11" s="12" t="n">
        <v>0.9</v>
      </c>
      <c r="D11" s="13" t="n">
        <v>2</v>
      </c>
      <c r="E11" s="13" t="n">
        <v>2</v>
      </c>
      <c r="F11" s="16" t="n">
        <f aca="false">IF(D11=0,"",E11/D11)</f>
        <v>1</v>
      </c>
      <c r="G11" s="7" t="str">
        <f aca="false">IF(F11="","",IF(F11&gt;=C11,"Yes","No"))</f>
        <v>Yes</v>
      </c>
      <c r="H11" s="13" t="s">
        <v>149</v>
      </c>
    </row>
    <row r="12" customFormat="false" ht="15" hidden="false" customHeight="false" outlineLevel="0" collapsed="false">
      <c r="A12" s="13" t="s">
        <v>226</v>
      </c>
      <c r="B12" s="13" t="s">
        <v>227</v>
      </c>
      <c r="C12" s="12" t="n">
        <v>0.8</v>
      </c>
      <c r="D12" s="13" t="n">
        <v>2</v>
      </c>
      <c r="E12" s="13" t="n">
        <v>1</v>
      </c>
      <c r="F12" s="16" t="n">
        <f aca="false">IF(D12=0,"",E12/D12)</f>
        <v>0.5</v>
      </c>
      <c r="G12" s="7" t="str">
        <f aca="false">IF(F12="","",IF(F12&gt;=C12,"Yes","No"))</f>
        <v>No</v>
      </c>
      <c r="H12" s="13" t="s">
        <v>149</v>
      </c>
    </row>
    <row r="13" customFormat="false" ht="15" hidden="false" customHeight="false" outlineLevel="0" collapsed="false">
      <c r="A13" s="13" t="s">
        <v>228</v>
      </c>
      <c r="B13" s="13" t="s">
        <v>229</v>
      </c>
      <c r="C13" s="12" t="n">
        <v>1</v>
      </c>
      <c r="D13" s="13" t="n">
        <v>3</v>
      </c>
      <c r="E13" s="13" t="n">
        <v>3</v>
      </c>
      <c r="F13" s="16" t="n">
        <f aca="false">IF(D13=0,"",E13/D13)</f>
        <v>1</v>
      </c>
      <c r="G13" s="7" t="str">
        <f aca="false">IF(F13="","",IF(F13&gt;=C13,"Yes","No"))</f>
        <v>Yes</v>
      </c>
      <c r="H13" s="13" t="s">
        <v>149</v>
      </c>
    </row>
    <row r="14" customFormat="false" ht="15" hidden="false" customHeight="false" outlineLevel="0" collapsed="false">
      <c r="A14" s="13" t="s">
        <v>230</v>
      </c>
      <c r="B14" s="13" t="s">
        <v>231</v>
      </c>
      <c r="C14" s="12" t="n">
        <v>1</v>
      </c>
      <c r="D14" s="13" t="n">
        <v>3</v>
      </c>
      <c r="E14" s="13" t="n">
        <v>3</v>
      </c>
      <c r="F14" s="16" t="n">
        <f aca="false">IF(D14=0,"",E14/D14)</f>
        <v>1</v>
      </c>
      <c r="G14" s="7" t="str">
        <f aca="false">IF(F14="","",IF(F14&gt;=C14,"Yes","No"))</f>
        <v>Yes</v>
      </c>
      <c r="H14" s="13" t="s">
        <v>157</v>
      </c>
    </row>
    <row r="15" customFormat="false" ht="15" hidden="false" customHeight="false" outlineLevel="0" collapsed="false">
      <c r="A15" s="13" t="s">
        <v>232</v>
      </c>
      <c r="B15" s="13" t="s">
        <v>233</v>
      </c>
      <c r="C15" s="12" t="n">
        <v>0.6</v>
      </c>
      <c r="D15" s="13" t="n">
        <v>15</v>
      </c>
      <c r="E15" s="13" t="n">
        <v>11</v>
      </c>
      <c r="F15" s="16" t="n">
        <f aca="false">IF(D15=0,"",E15/D15)</f>
        <v>0.733333333333333</v>
      </c>
      <c r="G15" s="7" t="str">
        <f aca="false">IF(F15="","",IF(F15&gt;=C15,"Yes","No"))</f>
        <v>Yes</v>
      </c>
      <c r="H15" s="13" t="s">
        <v>157</v>
      </c>
    </row>
    <row r="16" customFormat="false" ht="15" hidden="false" customHeight="false" outlineLevel="0" collapsed="false">
      <c r="A16" s="13" t="s">
        <v>234</v>
      </c>
      <c r="B16" s="13" t="s">
        <v>235</v>
      </c>
      <c r="C16" s="12" t="n">
        <v>0.85</v>
      </c>
      <c r="D16" s="13" t="n">
        <v>20</v>
      </c>
      <c r="E16" s="13" t="n">
        <v>17</v>
      </c>
      <c r="F16" s="16" t="n">
        <f aca="false">IF(D16=0,"",E16/D16)</f>
        <v>0.85</v>
      </c>
      <c r="G16" s="7" t="str">
        <f aca="false">IF(F16="","",IF(F16&gt;=C16,"Yes","No"))</f>
        <v>Yes</v>
      </c>
      <c r="H16" s="13" t="s">
        <v>157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3" t="s">
        <v>236</v>
      </c>
      <c r="B18" s="2"/>
      <c r="C18" s="2"/>
      <c r="D18" s="2"/>
      <c r="E18" s="2"/>
      <c r="F18" s="28" t="n">
        <f aca="false">COUNTIF(G5:G16,"Yes")/COUNTA(A5:A16)</f>
        <v>0.833333333333333</v>
      </c>
      <c r="G18" s="2"/>
      <c r="H18" s="2"/>
    </row>
    <row r="19" customFormat="false" ht="15" hidden="false" customHeight="false" outlineLevel="0" collapsed="false">
      <c r="A19" s="3" t="s">
        <v>237</v>
      </c>
      <c r="B19" s="2"/>
      <c r="C19" s="2"/>
      <c r="D19" s="2"/>
      <c r="E19" s="2"/>
      <c r="F19" s="29" t="n">
        <v>0.8</v>
      </c>
      <c r="G19" s="2"/>
      <c r="H19" s="2"/>
    </row>
    <row r="20" customFormat="false" ht="15" hidden="false" customHeight="false" outlineLevel="0" collapsed="false">
      <c r="A20" s="3" t="s">
        <v>238</v>
      </c>
      <c r="B20" s="2"/>
      <c r="C20" s="2"/>
      <c r="D20" s="2"/>
      <c r="E20" s="2"/>
      <c r="F20" s="3" t="str">
        <f aca="false">IF(F18&gt;=F19,"Yes","No")</f>
        <v>Yes</v>
      </c>
      <c r="G20" s="2"/>
      <c r="H20" s="2"/>
    </row>
    <row r="21" customFormat="false" ht="15" hidden="false" customHeight="false" outlineLevel="0" collapsed="false">
      <c r="A21" s="3" t="s">
        <v>239</v>
      </c>
      <c r="B21" s="2"/>
      <c r="C21" s="2"/>
      <c r="D21" s="2"/>
      <c r="E21" s="2"/>
      <c r="F21" s="3" t="n">
        <f aca="false">SUMIF(H5:H16,"Yes",E5:E16)</f>
        <v>58</v>
      </c>
      <c r="G21" s="2"/>
      <c r="H21" s="2"/>
    </row>
    <row r="22" customFormat="false" ht="15" hidden="false" customHeight="false" outlineLevel="0" collapsed="false">
      <c r="A22" s="3" t="s">
        <v>240</v>
      </c>
      <c r="B22" s="2"/>
      <c r="C22" s="2"/>
      <c r="D22" s="2"/>
      <c r="E22" s="2"/>
      <c r="F22" s="3" t="n">
        <f aca="false">SUMIF(H5:H16,"Yes",D5:D16)</f>
        <v>64</v>
      </c>
      <c r="G22" s="2"/>
      <c r="H22" s="2"/>
    </row>
    <row r="23" customFormat="false" ht="15" hidden="false" customHeight="false" outlineLevel="0" collapsed="false">
      <c r="A23" s="3" t="s">
        <v>47</v>
      </c>
      <c r="B23" s="2"/>
      <c r="C23" s="2"/>
      <c r="D23" s="2"/>
      <c r="E23" s="2"/>
      <c r="F23" s="28" t="n">
        <f aca="false">F21/F22</f>
        <v>0.90625</v>
      </c>
      <c r="G23" s="2"/>
      <c r="H23" s="2"/>
    </row>
  </sheetData>
  <conditionalFormatting sqref="G5:G1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2026-10-27T19:27:09Z</dcterms:created>
  <dc:creator>openpyxl</dc:creator>
  <dc:description/>
  <dc:language>en-US</dc:language>
  <cp:lastModifiedBy/>
  <dcterms:modified xsi:type="dcterms:W3CDTF">2026-10-27T19:27:11Z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